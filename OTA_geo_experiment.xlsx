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hidePivotFieldList="1"/>
  <mc:AlternateContent xmlns:mc="http://schemas.openxmlformats.org/markup-compatibility/2006">
    <mc:Choice Requires="x15">
      <x15ac:absPath xmlns:x15ac="http://schemas.microsoft.com/office/spreadsheetml/2010/11/ac" url="/Users/krs/Downloads/"/>
    </mc:Choice>
  </mc:AlternateContent>
  <xr:revisionPtr revIDLastSave="0" documentId="13_ncr:1_{4D3E9BDF-3EFE-9640-B58F-AE75C8C13045}" xr6:coauthVersionLast="47" xr6:coauthVersionMax="47" xr10:uidLastSave="{00000000-0000-0000-0000-000000000000}"/>
  <bookViews>
    <workbookView xWindow="0" yWindow="720" windowWidth="29400" windowHeight="18400" tabRatio="500" activeTab="4" xr2:uid="{00000000-000D-0000-FFFF-FFFF00000000}"/>
  </bookViews>
  <sheets>
    <sheet name="README" sheetId="1" r:id="rId1"/>
    <sheet name="01_Setup" sheetId="2" r:id="rId2"/>
    <sheet name="02_Bookings" sheetId="3" r:id="rId3"/>
    <sheet name="03_Spend" sheetId="4" r:id="rId4"/>
    <sheet name="04_Analysis" sheetId="5" r:id="rId5"/>
    <sheet name="05_Sanity_Check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6" l="1"/>
  <c r="E8" i="6" s="1"/>
  <c r="B8" i="6"/>
  <c r="D8" i="6" s="1"/>
  <c r="C7" i="6"/>
  <c r="E7" i="6" s="1"/>
  <c r="B7" i="6"/>
  <c r="D7" i="6" s="1"/>
  <c r="C6" i="6"/>
  <c r="E6" i="6" s="1"/>
  <c r="B15" i="6" s="1"/>
  <c r="B6" i="6"/>
  <c r="D6" i="6" s="1"/>
  <c r="B14" i="6" s="1"/>
  <c r="B16" i="6" s="1"/>
  <c r="C5" i="6"/>
  <c r="B13" i="6" s="1"/>
  <c r="B5" i="6"/>
  <c r="B12" i="6" s="1"/>
  <c r="B31" i="5"/>
  <c r="D15" i="5"/>
  <c r="C15" i="5"/>
  <c r="D14" i="5"/>
  <c r="C14" i="5"/>
  <c r="D13" i="5"/>
  <c r="C13" i="5"/>
  <c r="D12" i="5"/>
  <c r="C12" i="5"/>
  <c r="D11" i="5"/>
  <c r="C20" i="5" s="1"/>
  <c r="C11" i="5"/>
  <c r="B20" i="5" s="1"/>
  <c r="D10" i="5"/>
  <c r="C10" i="5"/>
  <c r="D9" i="5"/>
  <c r="C9" i="5"/>
  <c r="D8" i="5"/>
  <c r="C8" i="5"/>
  <c r="D7" i="5"/>
  <c r="C7" i="5"/>
  <c r="D6" i="5"/>
  <c r="C19" i="5" s="1"/>
  <c r="C6" i="5"/>
  <c r="B19" i="5" s="1"/>
  <c r="B25" i="2"/>
  <c r="B33" i="5" s="1"/>
  <c r="B24" i="5" l="1"/>
  <c r="C24" i="5"/>
  <c r="B28" i="5" l="1"/>
  <c r="B34" i="5" l="1"/>
  <c r="B35" i="5" s="1"/>
  <c r="B32" i="5"/>
</calcChain>
</file>

<file path=xl/sharedStrings.xml><?xml version="1.0" encoding="utf-8"?>
<sst xmlns="http://schemas.openxmlformats.org/spreadsheetml/2006/main" count="633" uniqueCount="127">
  <si>
    <t>THE SCENARIO</t>
  </si>
  <si>
    <t>THE EXPERIMENT DESIGN</t>
  </si>
  <si>
    <t>• 8 mid-sized Vietnamese cities, matched into 4 pairs based on size and historical booking patterns</t>
  </si>
  <si>
    <t>• Within each pair, one city is randomly assigned to TREATMENT (gets 50% spend increase), other to CONTROL (no change)</t>
  </si>
  <si>
    <t>• Pre-period: 4 weeks of observation BEFORE the intervention (to verify parallel trends)</t>
  </si>
  <si>
    <t>• Test period: 6 weeks of observation AFTER the intervention</t>
  </si>
  <si>
    <t>• Primary metric: incremental bookings per week</t>
  </si>
  <si>
    <t>• Analysis method: Difference-in-Differences (DiD)</t>
  </si>
  <si>
    <t>WORKBOOK STRUCTURE</t>
  </si>
  <si>
    <t>Tab</t>
  </si>
  <si>
    <t>What it contains</t>
  </si>
  <si>
    <t>01_Setup</t>
  </si>
  <si>
    <t>City list, group assignments (treatment/control), pair structure, and global parameters (spend, booking value, commission rate)</t>
  </si>
  <si>
    <t>02_Bookings</t>
  </si>
  <si>
    <t>Raw weekly bookings data for all 8 cities across all 10 weeks (4 pre + 6 test)</t>
  </si>
  <si>
    <t>03_Spend</t>
  </si>
  <si>
    <t>Weekly ad spend for all 8 cities across all 10 weeks</t>
  </si>
  <si>
    <t>04_Analysis</t>
  </si>
  <si>
    <t>05_Sanity_Check</t>
  </si>
  <si>
    <t>Verifies parallel trends in the pre-period (the foundation of DiD validity)</t>
  </si>
  <si>
    <t>1. Check parallel trends — do treatment and control move together during the 4-week pre-period? (Tab 05)</t>
  </si>
  <si>
    <t>2. Compute average weekly bookings for treatment and control, separately for pre-period and test period. (Tab 04)</t>
  </si>
  <si>
    <t>3. Calculate the change (test avg − pre avg) for each group.</t>
  </si>
  <si>
    <t>4. Compute the Difference-in-Differences: (treatment change) − (control change) = incremental bookings/week.</t>
  </si>
  <si>
    <t>5. Compute the incremental cost per booking: incremental spend ÷ incremental bookings.</t>
  </si>
  <si>
    <t>6. Compute the incremental ROAS using commission revenue (booking value × commission rate).</t>
  </si>
  <si>
    <t>City Assignments</t>
  </si>
  <si>
    <t>Pair</t>
  </si>
  <si>
    <t>City</t>
  </si>
  <si>
    <t>Group</t>
  </si>
  <si>
    <t>Region</t>
  </si>
  <si>
    <t>Pre-period weekly baseline (bookings)</t>
  </si>
  <si>
    <t>Da Nang</t>
  </si>
  <si>
    <t>Treatment</t>
  </si>
  <si>
    <t>Central Coast</t>
  </si>
  <si>
    <t>Hai Phong</t>
  </si>
  <si>
    <t>Control</t>
  </si>
  <si>
    <t>Northern Coast</t>
  </si>
  <si>
    <t>Can Tho</t>
  </si>
  <si>
    <t>Mekong Delta</t>
  </si>
  <si>
    <t>Nha Trang</t>
  </si>
  <si>
    <t>Southern Coast</t>
  </si>
  <si>
    <t>Hue</t>
  </si>
  <si>
    <t>Central</t>
  </si>
  <si>
    <t>Vung Tau</t>
  </si>
  <si>
    <t>Quy Nhon</t>
  </si>
  <si>
    <t>Buon Ma Thuot</t>
  </si>
  <si>
    <t>Central Highlands</t>
  </si>
  <si>
    <t>Global Parameters</t>
  </si>
  <si>
    <t>Parameter</t>
  </si>
  <si>
    <t>Value</t>
  </si>
  <si>
    <t>Notes</t>
  </si>
  <si>
    <t>Control weekly spend per city ($)</t>
  </si>
  <si>
    <t>The baseline display spend in each city</t>
  </si>
  <si>
    <t>Treatment weekly spend per city ($)</t>
  </si>
  <si>
    <t>The +50% spend in treatment cities during test period</t>
  </si>
  <si>
    <t>Number of treatment cities</t>
  </si>
  <si>
    <t>Number of control cities</t>
  </si>
  <si>
    <t>Pre-period weeks</t>
  </si>
  <si>
    <t>Weeks of observation before intervention</t>
  </si>
  <si>
    <t>Test period weeks</t>
  </si>
  <si>
    <t>Weeks of observation after intervention</t>
  </si>
  <si>
    <t>Average booking value ($)</t>
  </si>
  <si>
    <t>Average hotel night price in Vietnam</t>
  </si>
  <si>
    <t>Commission rate (%)</t>
  </si>
  <si>
    <t>Agoda commission as % of booking value</t>
  </si>
  <si>
    <t>Revenue per booking ($)</t>
  </si>
  <si>
    <t>AOV × commission rate</t>
  </si>
  <si>
    <t>Weekly Bookings Data</t>
  </si>
  <si>
    <t>Weeks -4 to -1 = pre-period (no change). Weeks 1 to 6 = test period (treatment got +50% spend).</t>
  </si>
  <si>
    <t>Week</t>
  </si>
  <si>
    <t>Period</t>
  </si>
  <si>
    <t>Bookings</t>
  </si>
  <si>
    <t>Pre</t>
  </si>
  <si>
    <t>Test</t>
  </si>
  <si>
    <t>Weekly Ad Spend Data</t>
  </si>
  <si>
    <t>All cities spend $10,000/week during pre-period. Treatment cities switch to $15,000/week in test period; control cities stay at $10,000.</t>
  </si>
  <si>
    <t>Spend ($)</t>
  </si>
  <si>
    <t>Difference-in-Differences Analysis</t>
  </si>
  <si>
    <t>Step 1 — Total bookings per week, by group</t>
  </si>
  <si>
    <t>Treatment total bookings</t>
  </si>
  <si>
    <t>Control total bookings</t>
  </si>
  <si>
    <t>Step 2 — Average weekly bookings, by group and period</t>
  </si>
  <si>
    <t>Treatment avg</t>
  </si>
  <si>
    <t>Control avg</t>
  </si>
  <si>
    <t>Pre-period average (weeks -4 to -1)</t>
  </si>
  <si>
    <t>Test period average (weeks 1 to 6)</t>
  </si>
  <si>
    <t>Step 3 — Change in average bookings (test avg − pre avg)</t>
  </si>
  <si>
    <t>Treatment change</t>
  </si>
  <si>
    <t>Control change</t>
  </si>
  <si>
    <t>Change in weekly bookings</t>
  </si>
  <si>
    <t>Step 4 — Difference-in-Differences = incremental bookings per week</t>
  </si>
  <si>
    <t>DiD = (Treatment change) − (Control change). This isolates the effect of the ad spend increase from market-wide forces.</t>
  </si>
  <si>
    <t>Incremental bookings per week (DiD)</t>
  </si>
  <si>
    <t>Step 5 — Translate to money (incremental CPA and ROAS)</t>
  </si>
  <si>
    <t>Incremental spend per week ($)</t>
  </si>
  <si>
    <t>Extra spend in treatment = (treatment $/city − control $/city) × # treatment cities</t>
  </si>
  <si>
    <t>Incremental cost per booking ($)</t>
  </si>
  <si>
    <t>Incremental spend ÷ incremental bookings</t>
  </si>
  <si>
    <t>From Setup tab (AOV × commission)</t>
  </si>
  <si>
    <t>Incremental commission revenue per week ($)</t>
  </si>
  <si>
    <t>Incremental bookings × revenue per booking</t>
  </si>
  <si>
    <t>Incremental ROAS</t>
  </si>
  <si>
    <t>Incremental revenue ÷ incremental spend. &gt;1 means profitable on commission.</t>
  </si>
  <si>
    <t>Step 6 — What to recommend</t>
  </si>
  <si>
    <t>Parallel Trends Sanity Check</t>
  </si>
  <si>
    <t>DiD is only valid if treatment and control moved together during the pre-period. If their week-over-week changes diverge before the intervention, the control is not a good counterfactual.</t>
  </si>
  <si>
    <t>Treatment total</t>
  </si>
  <si>
    <t>Control total</t>
  </si>
  <si>
    <t>Treatment WoW % change</t>
  </si>
  <si>
    <t>Control WoW % change</t>
  </si>
  <si>
    <t>Pre-period averages</t>
  </si>
  <si>
    <t>Treatment pre avg</t>
  </si>
  <si>
    <t>Control pre avg</t>
  </si>
  <si>
    <t>Avg WoW % — Treatment</t>
  </si>
  <si>
    <t>Avg WoW % — Control</t>
  </si>
  <si>
    <t>Difference (Treatment − Control)</t>
  </si>
  <si>
    <t>Interpretation guide</t>
  </si>
  <si>
    <t>Online Travel Agency Vietnam — Geo Experiment Analysis Workbook</t>
  </si>
  <si>
    <t>An OTA currently spends $10,000 per week on Google Display ads in each of several Vietnamese cities. The Vietnam Country Manager wants to know whether increasing display spend by 50% (to $15,000/week) in those cities will generate enough incremental bookings to justify the extra spend.</t>
  </si>
  <si>
    <t>EXERCISE DONE</t>
  </si>
  <si>
    <t>The Difference-in-Differences calculation. This is where we compute the answer.</t>
  </si>
  <si>
    <t>7. Compare our incremental ROAS to a typical platform-attributed ROAS — what's the takeaway?</t>
  </si>
  <si>
    <t>8. What caveats would I flag when presenting this to the Country Manager?</t>
  </si>
  <si>
    <t>DiD calculation step by step. Yellow cells are computed via formulas.</t>
  </si>
  <si>
    <t>If incremental ROAS &gt; 1.0x: the extra spend at least covers itself on commission. If it clears the hurdle rate (often 1.5–2.0x to account for non-commission costs), I would recommend scaling. Then consider a follow-up test at a larger increase (+100%) to find where incremental ROAS drops below the threshold.</t>
  </si>
  <si>
    <t>If "Difference (Treatment − Control)" in average week-over-week % change is small (well under 1%), parallel trends holds and DiD is trustworthy. If it is large or persistent in one direction, the assumption is shaky and we should re-match cities or reconsider the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</si>
</sst>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\$#,##0"/>
    <numFmt numFmtId="165" formatCode="0.0%"/>
    <numFmt numFmtId="166" formatCode="#,##0;\(#,##0\);\-"/>
    <numFmt numFmtId="167" formatCode="\$#,##0.00"/>
    <numFmt numFmtId="168" formatCode="0.00\x"/>
    <numFmt numFmtId="169" formatCode="0.0%;\(0.0%\);\-"/>
    <numFmt numFmtId="172" formatCode="&quot;$&quot;#,##0.0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8"/>
      <name val="Arial"/>
      <family val="2"/>
    </font>
    <font>
      <b/>
      <sz val="12"/>
      <color rgb="FF1F4E78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43">
    <xf numFmtId="0" fontId="0" fillId="0" borderId="0" xfId="0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4" fillId="6" borderId="1" xfId="0" applyFont="1" applyFill="1" applyBorder="1"/>
    <xf numFmtId="0" fontId="0" fillId="6" borderId="1" xfId="0" applyFill="1" applyBorder="1"/>
    <xf numFmtId="0" fontId="9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4" fontId="6" fillId="0" borderId="1" xfId="0" applyNumberFormat="1" applyFont="1" applyBorder="1"/>
    <xf numFmtId="0" fontId="9" fillId="0" borderId="0" xfId="0" applyFont="1"/>
    <xf numFmtId="0" fontId="5" fillId="6" borderId="1" xfId="0" applyFont="1" applyFill="1" applyBorder="1"/>
    <xf numFmtId="0" fontId="5" fillId="2" borderId="1" xfId="0" applyFont="1" applyFill="1" applyBorder="1"/>
    <xf numFmtId="3" fontId="7" fillId="2" borderId="1" xfId="0" applyNumberFormat="1" applyFont="1" applyFill="1" applyBorder="1"/>
    <xf numFmtId="0" fontId="4" fillId="0" borderId="1" xfId="0" applyFont="1" applyBorder="1"/>
    <xf numFmtId="3" fontId="6" fillId="2" borderId="1" xfId="0" applyNumberFormat="1" applyFont="1" applyFill="1" applyBorder="1"/>
    <xf numFmtId="166" fontId="6" fillId="2" borderId="1" xfId="0" applyNumberFormat="1" applyFont="1" applyFill="1" applyBorder="1"/>
    <xf numFmtId="164" fontId="7" fillId="2" borderId="1" xfId="0" applyNumberFormat="1" applyFont="1" applyFill="1" applyBorder="1"/>
    <xf numFmtId="0" fontId="9" fillId="0" borderId="1" xfId="0" applyFont="1" applyBorder="1" applyAlignment="1">
      <alignment vertical="top" wrapText="1"/>
    </xf>
    <xf numFmtId="167" fontId="6" fillId="2" borderId="1" xfId="0" applyNumberFormat="1" applyFont="1" applyFill="1" applyBorder="1"/>
    <xf numFmtId="167" fontId="7" fillId="2" borderId="1" xfId="0" applyNumberFormat="1" applyFont="1" applyFill="1" applyBorder="1"/>
    <xf numFmtId="164" fontId="6" fillId="2" borderId="1" xfId="0" applyNumberFormat="1" applyFont="1" applyFill="1" applyBorder="1"/>
    <xf numFmtId="168" fontId="6" fillId="2" borderId="1" xfId="0" applyNumberFormat="1" applyFont="1" applyFill="1" applyBorder="1"/>
    <xf numFmtId="3" fontId="7" fillId="0" borderId="1" xfId="0" applyNumberFormat="1" applyFont="1" applyBorder="1"/>
    <xf numFmtId="0" fontId="0" fillId="0" borderId="1" xfId="0" applyBorder="1"/>
    <xf numFmtId="169" fontId="6" fillId="0" borderId="1" xfId="0" applyNumberFormat="1" applyFont="1" applyBorder="1"/>
    <xf numFmtId="3" fontId="6" fillId="0" borderId="1" xfId="0" applyNumberFormat="1" applyFont="1" applyBorder="1"/>
    <xf numFmtId="10" fontId="6" fillId="0" borderId="1" xfId="0" applyNumberFormat="1" applyFont="1" applyBorder="1"/>
    <xf numFmtId="10" fontId="6" fillId="2" borderId="1" xfId="0" applyNumberFormat="1" applyFont="1" applyFill="1" applyBorder="1"/>
    <xf numFmtId="0" fontId="0" fillId="0" borderId="0" xfId="0" applyAlignment="1">
      <alignment horizontal="left"/>
    </xf>
    <xf numFmtId="172" fontId="0" fillId="0" borderId="0" xfId="0" applyNumberFormat="1"/>
    <xf numFmtId="44" fontId="1" fillId="0" borderId="0" xfId="1"/>
    <xf numFmtId="0" fontId="1" fillId="0" borderId="0" xfId="1" applyNumberFormat="1"/>
    <xf numFmtId="165" fontId="1" fillId="0" borderId="0" xfId="2" applyNumberFormat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zoomScale="140" zoomScaleNormal="100" workbookViewId="0">
      <selection activeCell="A9" sqref="A9:F9"/>
    </sheetView>
  </sheetViews>
  <sheetFormatPr baseColWidth="10" defaultColWidth="8.6640625" defaultRowHeight="15" x14ac:dyDescent="0.2"/>
  <cols>
    <col min="1" max="1" width="22" customWidth="1"/>
    <col min="2" max="6" width="25" customWidth="1"/>
  </cols>
  <sheetData>
    <row r="1" spans="1:6" ht="18" x14ac:dyDescent="0.2">
      <c r="A1" s="3" t="s">
        <v>118</v>
      </c>
    </row>
    <row r="3" spans="1:6" ht="16" x14ac:dyDescent="0.2">
      <c r="A3" s="4" t="s">
        <v>0</v>
      </c>
    </row>
    <row r="4" spans="1:6" ht="37" customHeight="1" x14ac:dyDescent="0.2">
      <c r="A4" s="2" t="s">
        <v>119</v>
      </c>
      <c r="B4" s="2"/>
      <c r="C4" s="2"/>
      <c r="D4" s="2"/>
      <c r="E4" s="2"/>
      <c r="F4" s="2"/>
    </row>
    <row r="6" spans="1:6" ht="16" x14ac:dyDescent="0.2">
      <c r="A6" s="4" t="s">
        <v>1</v>
      </c>
    </row>
    <row r="7" spans="1:6" ht="15" customHeight="1" x14ac:dyDescent="0.2">
      <c r="A7" s="2" t="s">
        <v>2</v>
      </c>
      <c r="B7" s="2"/>
      <c r="C7" s="2"/>
      <c r="D7" s="2"/>
      <c r="E7" s="2"/>
      <c r="F7" s="2"/>
    </row>
    <row r="8" spans="1:6" ht="15" customHeight="1" x14ac:dyDescent="0.2">
      <c r="A8" s="2" t="s">
        <v>3</v>
      </c>
      <c r="B8" s="2"/>
      <c r="C8" s="2"/>
      <c r="D8" s="2"/>
      <c r="E8" s="2"/>
      <c r="F8" s="2"/>
    </row>
    <row r="9" spans="1:6" ht="15" customHeight="1" x14ac:dyDescent="0.2">
      <c r="A9" s="2" t="s">
        <v>4</v>
      </c>
      <c r="B9" s="2"/>
      <c r="C9" s="2"/>
      <c r="D9" s="2"/>
      <c r="E9" s="2"/>
      <c r="F9" s="2"/>
    </row>
    <row r="10" spans="1:6" ht="15" customHeight="1" x14ac:dyDescent="0.2">
      <c r="A10" s="2" t="s">
        <v>5</v>
      </c>
      <c r="B10" s="2"/>
      <c r="C10" s="2"/>
      <c r="D10" s="2"/>
      <c r="E10" s="2"/>
      <c r="F10" s="2"/>
    </row>
    <row r="11" spans="1:6" ht="15" customHeight="1" x14ac:dyDescent="0.2">
      <c r="A11" s="2" t="s">
        <v>6</v>
      </c>
      <c r="B11" s="2"/>
      <c r="C11" s="2"/>
      <c r="D11" s="2"/>
      <c r="E11" s="2"/>
      <c r="F11" s="2"/>
    </row>
    <row r="12" spans="1:6" ht="15" customHeight="1" x14ac:dyDescent="0.2">
      <c r="A12" s="2" t="s">
        <v>7</v>
      </c>
      <c r="B12" s="2"/>
      <c r="C12" s="2"/>
      <c r="D12" s="2"/>
      <c r="E12" s="2"/>
      <c r="F12" s="2"/>
    </row>
    <row r="14" spans="1:6" ht="16" x14ac:dyDescent="0.2">
      <c r="A14" s="4" t="s">
        <v>8</v>
      </c>
    </row>
    <row r="15" spans="1:6" x14ac:dyDescent="0.2">
      <c r="A15" s="5" t="s">
        <v>9</v>
      </c>
      <c r="B15" s="5" t="s">
        <v>10</v>
      </c>
    </row>
    <row r="16" spans="1:6" ht="15" customHeight="1" x14ac:dyDescent="0.2">
      <c r="A16" s="5" t="s">
        <v>11</v>
      </c>
      <c r="B16" s="2" t="s">
        <v>12</v>
      </c>
      <c r="C16" s="2"/>
      <c r="D16" s="2"/>
      <c r="E16" s="2"/>
      <c r="F16" s="2"/>
    </row>
    <row r="17" spans="1:6" ht="15" customHeight="1" x14ac:dyDescent="0.2">
      <c r="A17" s="5" t="s">
        <v>13</v>
      </c>
      <c r="B17" s="2" t="s">
        <v>14</v>
      </c>
      <c r="C17" s="2"/>
      <c r="D17" s="2"/>
      <c r="E17" s="2"/>
      <c r="F17" s="2"/>
    </row>
    <row r="18" spans="1:6" ht="15" customHeight="1" x14ac:dyDescent="0.2">
      <c r="A18" s="5" t="s">
        <v>15</v>
      </c>
      <c r="B18" s="2" t="s">
        <v>16</v>
      </c>
      <c r="C18" s="2"/>
      <c r="D18" s="2"/>
      <c r="E18" s="2"/>
      <c r="F18" s="2"/>
    </row>
    <row r="19" spans="1:6" ht="15" customHeight="1" x14ac:dyDescent="0.2">
      <c r="A19" s="5" t="s">
        <v>17</v>
      </c>
      <c r="B19" s="2" t="s">
        <v>121</v>
      </c>
      <c r="C19" s="2"/>
      <c r="D19" s="2"/>
      <c r="E19" s="2"/>
      <c r="F19" s="2"/>
    </row>
    <row r="20" spans="1:6" ht="15" customHeight="1" x14ac:dyDescent="0.2">
      <c r="A20" s="5" t="s">
        <v>18</v>
      </c>
      <c r="B20" s="2" t="s">
        <v>19</v>
      </c>
      <c r="C20" s="2"/>
      <c r="D20" s="2"/>
      <c r="E20" s="2"/>
      <c r="F20" s="2"/>
    </row>
    <row r="22" spans="1:6" ht="16" x14ac:dyDescent="0.2">
      <c r="A22" s="4" t="s">
        <v>120</v>
      </c>
    </row>
    <row r="23" spans="1:6" ht="15" customHeight="1" x14ac:dyDescent="0.2">
      <c r="A23" s="2" t="s">
        <v>20</v>
      </c>
      <c r="B23" s="2"/>
      <c r="C23" s="2"/>
      <c r="D23" s="2"/>
      <c r="E23" s="2"/>
      <c r="F23" s="2"/>
    </row>
    <row r="24" spans="1:6" ht="15" customHeight="1" x14ac:dyDescent="0.2">
      <c r="A24" s="2" t="s">
        <v>21</v>
      </c>
      <c r="B24" s="2"/>
      <c r="C24" s="2"/>
      <c r="D24" s="2"/>
      <c r="E24" s="2"/>
      <c r="F24" s="2"/>
    </row>
    <row r="25" spans="1:6" ht="15" customHeight="1" x14ac:dyDescent="0.2">
      <c r="A25" s="2" t="s">
        <v>22</v>
      </c>
      <c r="B25" s="2"/>
      <c r="C25" s="2"/>
      <c r="D25" s="2"/>
      <c r="E25" s="2"/>
      <c r="F25" s="2"/>
    </row>
    <row r="26" spans="1:6" ht="15" customHeight="1" x14ac:dyDescent="0.2">
      <c r="A26" s="2" t="s">
        <v>23</v>
      </c>
      <c r="B26" s="2"/>
      <c r="C26" s="2"/>
      <c r="D26" s="2"/>
      <c r="E26" s="2"/>
      <c r="F26" s="2"/>
    </row>
    <row r="27" spans="1:6" ht="15" customHeight="1" x14ac:dyDescent="0.2">
      <c r="A27" s="2" t="s">
        <v>24</v>
      </c>
      <c r="B27" s="2"/>
      <c r="C27" s="2"/>
      <c r="D27" s="2"/>
      <c r="E27" s="2"/>
      <c r="F27" s="2"/>
    </row>
    <row r="28" spans="1:6" ht="15" customHeight="1" x14ac:dyDescent="0.2">
      <c r="A28" s="2" t="s">
        <v>25</v>
      </c>
      <c r="B28" s="2"/>
      <c r="C28" s="2"/>
      <c r="D28" s="2"/>
      <c r="E28" s="2"/>
      <c r="F28" s="2"/>
    </row>
    <row r="29" spans="1:6" ht="15" customHeight="1" x14ac:dyDescent="0.2">
      <c r="A29" s="2" t="s">
        <v>122</v>
      </c>
      <c r="B29" s="2"/>
      <c r="C29" s="2"/>
      <c r="D29" s="2"/>
      <c r="E29" s="2"/>
      <c r="F29" s="2"/>
    </row>
    <row r="30" spans="1:6" ht="15" customHeight="1" x14ac:dyDescent="0.2">
      <c r="A30" s="2" t="s">
        <v>123</v>
      </c>
      <c r="B30" s="2"/>
      <c r="C30" s="2"/>
      <c r="D30" s="2"/>
      <c r="E30" s="2"/>
      <c r="F30" s="2"/>
    </row>
    <row r="32" spans="1:6" ht="16" x14ac:dyDescent="0.2">
      <c r="A32" s="4"/>
    </row>
    <row r="33" spans="1:2" x14ac:dyDescent="0.2">
      <c r="A33" s="6"/>
    </row>
    <row r="34" spans="1:2" x14ac:dyDescent="0.2">
      <c r="A34" s="7"/>
    </row>
    <row r="35" spans="1:2" ht="16" x14ac:dyDescent="0.2">
      <c r="A35" s="4"/>
      <c r="B35" s="4"/>
    </row>
    <row r="36" spans="1:2" x14ac:dyDescent="0.2">
      <c r="A36" s="6"/>
      <c r="B36" s="6"/>
    </row>
  </sheetData>
  <mergeCells count="20">
    <mergeCell ref="A26:F26"/>
    <mergeCell ref="A27:F27"/>
    <mergeCell ref="A28:F28"/>
    <mergeCell ref="A29:F29"/>
    <mergeCell ref="A30:F30"/>
    <mergeCell ref="B19:F19"/>
    <mergeCell ref="B20:F20"/>
    <mergeCell ref="A23:F23"/>
    <mergeCell ref="A24:F24"/>
    <mergeCell ref="A25:F25"/>
    <mergeCell ref="A11:F11"/>
    <mergeCell ref="A12:F12"/>
    <mergeCell ref="B16:F16"/>
    <mergeCell ref="B17:F17"/>
    <mergeCell ref="B18:F18"/>
    <mergeCell ref="A4:F4"/>
    <mergeCell ref="A7:F7"/>
    <mergeCell ref="A8:F8"/>
    <mergeCell ref="A9:F9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zoomScale="93" zoomScaleNormal="100" workbookViewId="0">
      <selection activeCell="B27" sqref="B27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" width="50" customWidth="1"/>
    <col min="4" max="4" width="22" customWidth="1"/>
    <col min="5" max="5" width="35.5" bestFit="1" customWidth="1"/>
  </cols>
  <sheetData>
    <row r="1" spans="1:5" ht="18" x14ac:dyDescent="0.2">
      <c r="A1" s="3"/>
    </row>
    <row r="3" spans="1:5" ht="16" x14ac:dyDescent="0.2">
      <c r="A3" s="4" t="s">
        <v>26</v>
      </c>
    </row>
    <row r="4" spans="1:5" x14ac:dyDescent="0.2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</row>
    <row r="5" spans="1:5" x14ac:dyDescent="0.2">
      <c r="A5" s="9">
        <v>1</v>
      </c>
      <c r="B5" s="9" t="s">
        <v>32</v>
      </c>
      <c r="C5" s="10" t="s">
        <v>33</v>
      </c>
      <c r="D5" s="9" t="s">
        <v>34</v>
      </c>
      <c r="E5" s="9">
        <v>3200</v>
      </c>
    </row>
    <row r="6" spans="1:5" x14ac:dyDescent="0.2">
      <c r="A6" s="9">
        <v>1</v>
      </c>
      <c r="B6" s="9" t="s">
        <v>35</v>
      </c>
      <c r="C6" s="11" t="s">
        <v>36</v>
      </c>
      <c r="D6" s="9" t="s">
        <v>37</v>
      </c>
      <c r="E6" s="9">
        <v>3400</v>
      </c>
    </row>
    <row r="7" spans="1:5" x14ac:dyDescent="0.2">
      <c r="A7" s="9">
        <v>2</v>
      </c>
      <c r="B7" s="9" t="s">
        <v>38</v>
      </c>
      <c r="C7" s="10" t="s">
        <v>33</v>
      </c>
      <c r="D7" s="9" t="s">
        <v>39</v>
      </c>
      <c r="E7" s="9">
        <v>3000</v>
      </c>
    </row>
    <row r="8" spans="1:5" x14ac:dyDescent="0.2">
      <c r="A8" s="9">
        <v>2</v>
      </c>
      <c r="B8" s="9" t="s">
        <v>40</v>
      </c>
      <c r="C8" s="11" t="s">
        <v>36</v>
      </c>
      <c r="D8" s="9" t="s">
        <v>41</v>
      </c>
      <c r="E8" s="9">
        <v>3100</v>
      </c>
    </row>
    <row r="9" spans="1:5" x14ac:dyDescent="0.2">
      <c r="A9" s="9">
        <v>3</v>
      </c>
      <c r="B9" s="9" t="s">
        <v>42</v>
      </c>
      <c r="C9" s="10" t="s">
        <v>33</v>
      </c>
      <c r="D9" s="9" t="s">
        <v>43</v>
      </c>
      <c r="E9" s="9">
        <v>2800</v>
      </c>
    </row>
    <row r="10" spans="1:5" x14ac:dyDescent="0.2">
      <c r="A10" s="9">
        <v>3</v>
      </c>
      <c r="B10" s="9" t="s">
        <v>44</v>
      </c>
      <c r="C10" s="11" t="s">
        <v>36</v>
      </c>
      <c r="D10" s="9" t="s">
        <v>41</v>
      </c>
      <c r="E10" s="9">
        <v>3000</v>
      </c>
    </row>
    <row r="11" spans="1:5" x14ac:dyDescent="0.2">
      <c r="A11" s="9">
        <v>4</v>
      </c>
      <c r="B11" s="9" t="s">
        <v>45</v>
      </c>
      <c r="C11" s="10" t="s">
        <v>33</v>
      </c>
      <c r="D11" s="9" t="s">
        <v>34</v>
      </c>
      <c r="E11" s="9">
        <v>2800</v>
      </c>
    </row>
    <row r="12" spans="1:5" x14ac:dyDescent="0.2">
      <c r="A12" s="9">
        <v>4</v>
      </c>
      <c r="B12" s="9" t="s">
        <v>46</v>
      </c>
      <c r="C12" s="11" t="s">
        <v>36</v>
      </c>
      <c r="D12" s="9" t="s">
        <v>47</v>
      </c>
      <c r="E12" s="9">
        <v>2900</v>
      </c>
    </row>
    <row r="15" spans="1:5" ht="16" x14ac:dyDescent="0.2">
      <c r="A15" s="4" t="s">
        <v>48</v>
      </c>
    </row>
    <row r="16" spans="1:5" x14ac:dyDescent="0.2">
      <c r="A16" s="12" t="s">
        <v>49</v>
      </c>
      <c r="B16" s="12" t="s">
        <v>50</v>
      </c>
      <c r="C16" s="12" t="s">
        <v>51</v>
      </c>
      <c r="D16" s="13"/>
      <c r="E16" s="13"/>
    </row>
    <row r="17" spans="1:3" x14ac:dyDescent="0.2">
      <c r="A17" s="14" t="s">
        <v>52</v>
      </c>
      <c r="B17" s="15">
        <v>10000</v>
      </c>
      <c r="C17" s="14" t="s">
        <v>53</v>
      </c>
    </row>
    <row r="18" spans="1:3" x14ac:dyDescent="0.2">
      <c r="A18" s="14" t="s">
        <v>54</v>
      </c>
      <c r="B18" s="15">
        <v>15000</v>
      </c>
      <c r="C18" s="14" t="s">
        <v>55</v>
      </c>
    </row>
    <row r="19" spans="1:3" x14ac:dyDescent="0.2">
      <c r="A19" s="14" t="s">
        <v>56</v>
      </c>
      <c r="B19" s="9">
        <v>4</v>
      </c>
      <c r="C19" s="14"/>
    </row>
    <row r="20" spans="1:3" x14ac:dyDescent="0.2">
      <c r="A20" s="14" t="s">
        <v>57</v>
      </c>
      <c r="B20" s="9">
        <v>4</v>
      </c>
      <c r="C20" s="14"/>
    </row>
    <row r="21" spans="1:3" x14ac:dyDescent="0.2">
      <c r="A21" s="14" t="s">
        <v>58</v>
      </c>
      <c r="B21" s="9">
        <v>4</v>
      </c>
      <c r="C21" s="14" t="s">
        <v>59</v>
      </c>
    </row>
    <row r="22" spans="1:3" x14ac:dyDescent="0.2">
      <c r="A22" s="14" t="s">
        <v>60</v>
      </c>
      <c r="B22" s="9">
        <v>6</v>
      </c>
      <c r="C22" s="14" t="s">
        <v>61</v>
      </c>
    </row>
    <row r="23" spans="1:3" x14ac:dyDescent="0.2">
      <c r="A23" s="14" t="s">
        <v>62</v>
      </c>
      <c r="B23" s="15">
        <v>120</v>
      </c>
      <c r="C23" s="14" t="s">
        <v>63</v>
      </c>
    </row>
    <row r="24" spans="1:3" x14ac:dyDescent="0.2">
      <c r="A24" s="14" t="s">
        <v>64</v>
      </c>
      <c r="B24" s="16">
        <v>0.15</v>
      </c>
      <c r="C24" s="14" t="s">
        <v>65</v>
      </c>
    </row>
    <row r="25" spans="1:3" x14ac:dyDescent="0.2">
      <c r="A25" s="14" t="s">
        <v>66</v>
      </c>
      <c r="B25" s="17">
        <f>B23*B24</f>
        <v>18</v>
      </c>
      <c r="C25" s="14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4"/>
  <sheetViews>
    <sheetView zoomScaleNormal="100" workbookViewId="0">
      <selection activeCell="H7" sqref="H7"/>
    </sheetView>
  </sheetViews>
  <sheetFormatPr baseColWidth="10" defaultColWidth="8.6640625" defaultRowHeight="15" x14ac:dyDescent="0.2"/>
  <cols>
    <col min="1" max="1" width="16" customWidth="1"/>
    <col min="2" max="2" width="13" customWidth="1"/>
    <col min="3" max="3" width="8" customWidth="1"/>
    <col min="4" max="4" width="10" customWidth="1"/>
    <col min="5" max="5" width="12" customWidth="1"/>
    <col min="7" max="7" width="14" bestFit="1" customWidth="1"/>
    <col min="8" max="8" width="14.83203125" bestFit="1" customWidth="1"/>
    <col min="9" max="9" width="9.33203125" bestFit="1" customWidth="1"/>
    <col min="10" max="10" width="10.1640625" bestFit="1" customWidth="1"/>
    <col min="11" max="11" width="40.5" bestFit="1" customWidth="1"/>
    <col min="12" max="12" width="11.6640625" bestFit="1" customWidth="1"/>
  </cols>
  <sheetData>
    <row r="1" spans="1:10" ht="18" x14ac:dyDescent="0.2">
      <c r="A1" s="3" t="s">
        <v>68</v>
      </c>
    </row>
    <row r="2" spans="1:10" x14ac:dyDescent="0.2">
      <c r="A2" s="18" t="s">
        <v>69</v>
      </c>
    </row>
    <row r="3" spans="1:10" x14ac:dyDescent="0.2">
      <c r="I3" s="9"/>
      <c r="J3" s="9"/>
    </row>
    <row r="4" spans="1:10" x14ac:dyDescent="0.2">
      <c r="A4" s="8" t="s">
        <v>28</v>
      </c>
      <c r="B4" s="8" t="s">
        <v>29</v>
      </c>
      <c r="C4" s="8" t="s">
        <v>70</v>
      </c>
      <c r="D4" s="8" t="s">
        <v>71</v>
      </c>
      <c r="E4" s="8" t="s">
        <v>72</v>
      </c>
    </row>
    <row r="5" spans="1:10" x14ac:dyDescent="0.2">
      <c r="A5" s="9" t="s">
        <v>32</v>
      </c>
      <c r="B5" s="10" t="s">
        <v>33</v>
      </c>
      <c r="C5" s="9">
        <v>-4</v>
      </c>
      <c r="D5" s="19" t="s">
        <v>73</v>
      </c>
      <c r="E5" s="9">
        <v>3183</v>
      </c>
    </row>
    <row r="6" spans="1:10" x14ac:dyDescent="0.2">
      <c r="A6" s="9" t="s">
        <v>32</v>
      </c>
      <c r="B6" s="10" t="s">
        <v>33</v>
      </c>
      <c r="C6" s="9">
        <v>-3</v>
      </c>
      <c r="D6" s="19" t="s">
        <v>73</v>
      </c>
      <c r="E6" s="9">
        <v>3192</v>
      </c>
    </row>
    <row r="7" spans="1:10" x14ac:dyDescent="0.2">
      <c r="A7" s="9" t="s">
        <v>32</v>
      </c>
      <c r="B7" s="10" t="s">
        <v>33</v>
      </c>
      <c r="C7" s="9">
        <v>-2</v>
      </c>
      <c r="D7" s="19" t="s">
        <v>73</v>
      </c>
      <c r="E7" s="9">
        <v>3189</v>
      </c>
    </row>
    <row r="8" spans="1:10" x14ac:dyDescent="0.2">
      <c r="A8" s="9" t="s">
        <v>32</v>
      </c>
      <c r="B8" s="10" t="s">
        <v>33</v>
      </c>
      <c r="C8" s="9">
        <v>-1</v>
      </c>
      <c r="D8" s="19" t="s">
        <v>73</v>
      </c>
      <c r="E8" s="9">
        <v>3213</v>
      </c>
    </row>
    <row r="9" spans="1:10" x14ac:dyDescent="0.2">
      <c r="A9" s="9" t="s">
        <v>32</v>
      </c>
      <c r="B9" s="10" t="s">
        <v>33</v>
      </c>
      <c r="C9" s="9">
        <v>1</v>
      </c>
      <c r="D9" s="20" t="s">
        <v>74</v>
      </c>
      <c r="E9" s="9">
        <v>3491</v>
      </c>
    </row>
    <row r="10" spans="1:10" x14ac:dyDescent="0.2">
      <c r="A10" s="9" t="s">
        <v>32</v>
      </c>
      <c r="B10" s="10" t="s">
        <v>33</v>
      </c>
      <c r="C10" s="9">
        <v>2</v>
      </c>
      <c r="D10" s="20" t="s">
        <v>74</v>
      </c>
      <c r="E10" s="9">
        <v>3539</v>
      </c>
    </row>
    <row r="11" spans="1:10" x14ac:dyDescent="0.2">
      <c r="A11" s="9" t="s">
        <v>32</v>
      </c>
      <c r="B11" s="10" t="s">
        <v>33</v>
      </c>
      <c r="C11" s="9">
        <v>3</v>
      </c>
      <c r="D11" s="20" t="s">
        <v>74</v>
      </c>
      <c r="E11" s="9">
        <v>3548</v>
      </c>
    </row>
    <row r="12" spans="1:10" x14ac:dyDescent="0.2">
      <c r="A12" s="9" t="s">
        <v>32</v>
      </c>
      <c r="B12" s="10" t="s">
        <v>33</v>
      </c>
      <c r="C12" s="9">
        <v>4</v>
      </c>
      <c r="D12" s="20" t="s">
        <v>74</v>
      </c>
      <c r="E12" s="9">
        <v>3658</v>
      </c>
    </row>
    <row r="13" spans="1:10" x14ac:dyDescent="0.2">
      <c r="A13" s="9" t="s">
        <v>32</v>
      </c>
      <c r="B13" s="10" t="s">
        <v>33</v>
      </c>
      <c r="C13" s="9">
        <v>5</v>
      </c>
      <c r="D13" s="20" t="s">
        <v>74</v>
      </c>
      <c r="E13" s="9">
        <v>3658</v>
      </c>
    </row>
    <row r="14" spans="1:10" x14ac:dyDescent="0.2">
      <c r="A14" s="9" t="s">
        <v>32</v>
      </c>
      <c r="B14" s="10" t="s">
        <v>33</v>
      </c>
      <c r="C14" s="9">
        <v>6</v>
      </c>
      <c r="D14" s="20" t="s">
        <v>74</v>
      </c>
      <c r="E14" s="9">
        <v>3779</v>
      </c>
    </row>
    <row r="15" spans="1:10" x14ac:dyDescent="0.2">
      <c r="A15" s="9" t="s">
        <v>35</v>
      </c>
      <c r="B15" s="11" t="s">
        <v>36</v>
      </c>
      <c r="C15" s="9">
        <v>-4</v>
      </c>
      <c r="D15" s="19" t="s">
        <v>73</v>
      </c>
      <c r="E15" s="9">
        <v>3356</v>
      </c>
    </row>
    <row r="16" spans="1:10" x14ac:dyDescent="0.2">
      <c r="A16" s="9" t="s">
        <v>35</v>
      </c>
      <c r="B16" s="11" t="s">
        <v>36</v>
      </c>
      <c r="C16" s="9">
        <v>-3</v>
      </c>
      <c r="D16" s="19" t="s">
        <v>73</v>
      </c>
      <c r="E16" s="9">
        <v>3385</v>
      </c>
    </row>
    <row r="17" spans="1:12" x14ac:dyDescent="0.2">
      <c r="A17" s="9" t="s">
        <v>35</v>
      </c>
      <c r="B17" s="11" t="s">
        <v>36</v>
      </c>
      <c r="C17" s="9">
        <v>-2</v>
      </c>
      <c r="D17" s="19" t="s">
        <v>73</v>
      </c>
      <c r="E17" s="9">
        <v>3365</v>
      </c>
    </row>
    <row r="18" spans="1:12" x14ac:dyDescent="0.2">
      <c r="A18" s="9" t="s">
        <v>35</v>
      </c>
      <c r="B18" s="11" t="s">
        <v>36</v>
      </c>
      <c r="C18" s="9">
        <v>-1</v>
      </c>
      <c r="D18" s="19" t="s">
        <v>73</v>
      </c>
      <c r="E18" s="9">
        <v>3491</v>
      </c>
    </row>
    <row r="19" spans="1:12" x14ac:dyDescent="0.2">
      <c r="A19" s="9" t="s">
        <v>35</v>
      </c>
      <c r="B19" s="11" t="s">
        <v>36</v>
      </c>
      <c r="C19" s="9">
        <v>1</v>
      </c>
      <c r="D19" s="20" t="s">
        <v>74</v>
      </c>
      <c r="E19" s="9">
        <v>3515</v>
      </c>
    </row>
    <row r="20" spans="1:12" x14ac:dyDescent="0.2">
      <c r="A20" s="9" t="s">
        <v>35</v>
      </c>
      <c r="B20" s="11" t="s">
        <v>36</v>
      </c>
      <c r="C20" s="9">
        <v>2</v>
      </c>
      <c r="D20" s="20" t="s">
        <v>74</v>
      </c>
      <c r="E20" s="9">
        <v>3576</v>
      </c>
    </row>
    <row r="21" spans="1:12" x14ac:dyDescent="0.2">
      <c r="A21" s="9" t="s">
        <v>35</v>
      </c>
      <c r="B21" s="11" t="s">
        <v>36</v>
      </c>
      <c r="C21" s="9">
        <v>3</v>
      </c>
      <c r="D21" s="20" t="s">
        <v>74</v>
      </c>
      <c r="E21" s="9">
        <v>3651</v>
      </c>
    </row>
    <row r="22" spans="1:12" x14ac:dyDescent="0.2">
      <c r="A22" s="9" t="s">
        <v>35</v>
      </c>
      <c r="B22" s="11" t="s">
        <v>36</v>
      </c>
      <c r="C22" s="9">
        <v>4</v>
      </c>
      <c r="D22" s="20" t="s">
        <v>74</v>
      </c>
      <c r="E22" s="9">
        <v>3735</v>
      </c>
    </row>
    <row r="23" spans="1:12" x14ac:dyDescent="0.2">
      <c r="A23" s="9" t="s">
        <v>35</v>
      </c>
      <c r="B23" s="11" t="s">
        <v>36</v>
      </c>
      <c r="C23" s="9">
        <v>5</v>
      </c>
      <c r="D23" s="20" t="s">
        <v>74</v>
      </c>
      <c r="E23" s="9">
        <v>3731</v>
      </c>
      <c r="L23" s="38"/>
    </row>
    <row r="24" spans="1:12" x14ac:dyDescent="0.2">
      <c r="A24" s="9" t="s">
        <v>35</v>
      </c>
      <c r="B24" s="11" t="s">
        <v>36</v>
      </c>
      <c r="C24" s="9">
        <v>6</v>
      </c>
      <c r="D24" s="20" t="s">
        <v>74</v>
      </c>
      <c r="E24" s="9">
        <v>3780</v>
      </c>
      <c r="G24" s="37"/>
      <c r="L24" s="39"/>
    </row>
    <row r="25" spans="1:12" x14ac:dyDescent="0.2">
      <c r="A25" s="9" t="s">
        <v>38</v>
      </c>
      <c r="B25" s="10" t="s">
        <v>33</v>
      </c>
      <c r="C25" s="9">
        <v>-4</v>
      </c>
      <c r="D25" s="19" t="s">
        <v>73</v>
      </c>
      <c r="E25" s="9">
        <v>3043</v>
      </c>
      <c r="G25" s="9"/>
      <c r="H25" s="9"/>
      <c r="I25" s="41"/>
      <c r="L25" s="40"/>
    </row>
    <row r="26" spans="1:12" x14ac:dyDescent="0.2">
      <c r="A26" s="9" t="s">
        <v>38</v>
      </c>
      <c r="B26" s="10" t="s">
        <v>33</v>
      </c>
      <c r="C26" s="9">
        <v>-3</v>
      </c>
      <c r="D26" s="19" t="s">
        <v>73</v>
      </c>
      <c r="E26" s="9">
        <v>2983</v>
      </c>
      <c r="G26" s="9"/>
      <c r="H26" s="9"/>
      <c r="I26" s="41"/>
      <c r="J26" s="42"/>
      <c r="L26" s="38"/>
    </row>
    <row r="27" spans="1:12" x14ac:dyDescent="0.2">
      <c r="A27" s="9" t="s">
        <v>38</v>
      </c>
      <c r="B27" s="10" t="s">
        <v>33</v>
      </c>
      <c r="C27" s="9">
        <v>-2</v>
      </c>
      <c r="D27" s="19" t="s">
        <v>73</v>
      </c>
      <c r="E27" s="9">
        <v>3008</v>
      </c>
      <c r="G27" s="9"/>
      <c r="H27" s="9"/>
      <c r="I27" s="41"/>
      <c r="J27" s="42"/>
    </row>
    <row r="28" spans="1:12" x14ac:dyDescent="0.2">
      <c r="A28" s="9" t="s">
        <v>38</v>
      </c>
      <c r="B28" s="10" t="s">
        <v>33</v>
      </c>
      <c r="C28" s="9">
        <v>-1</v>
      </c>
      <c r="D28" s="19" t="s">
        <v>73</v>
      </c>
      <c r="E28" s="9">
        <v>3032</v>
      </c>
      <c r="G28" s="9"/>
      <c r="H28" s="9"/>
      <c r="I28" s="41"/>
      <c r="J28" s="42"/>
    </row>
    <row r="29" spans="1:12" x14ac:dyDescent="0.2">
      <c r="A29" s="9" t="s">
        <v>38</v>
      </c>
      <c r="B29" s="10" t="s">
        <v>33</v>
      </c>
      <c r="C29" s="9">
        <v>1</v>
      </c>
      <c r="D29" s="20" t="s">
        <v>74</v>
      </c>
      <c r="E29" s="9">
        <v>3238</v>
      </c>
    </row>
    <row r="30" spans="1:12" x14ac:dyDescent="0.2">
      <c r="A30" s="9" t="s">
        <v>38</v>
      </c>
      <c r="B30" s="10" t="s">
        <v>33</v>
      </c>
      <c r="C30" s="9">
        <v>2</v>
      </c>
      <c r="D30" s="20" t="s">
        <v>74</v>
      </c>
      <c r="E30" s="9">
        <v>3296</v>
      </c>
    </row>
    <row r="31" spans="1:12" x14ac:dyDescent="0.2">
      <c r="A31" s="9" t="s">
        <v>38</v>
      </c>
      <c r="B31" s="10" t="s">
        <v>33</v>
      </c>
      <c r="C31" s="9">
        <v>3</v>
      </c>
      <c r="D31" s="20" t="s">
        <v>74</v>
      </c>
      <c r="E31" s="9">
        <v>3349</v>
      </c>
    </row>
    <row r="32" spans="1:12" x14ac:dyDescent="0.2">
      <c r="A32" s="9" t="s">
        <v>38</v>
      </c>
      <c r="B32" s="10" t="s">
        <v>33</v>
      </c>
      <c r="C32" s="9">
        <v>4</v>
      </c>
      <c r="D32" s="20" t="s">
        <v>74</v>
      </c>
      <c r="E32" s="9">
        <v>3457</v>
      </c>
    </row>
    <row r="33" spans="1:5" x14ac:dyDescent="0.2">
      <c r="A33" s="9" t="s">
        <v>38</v>
      </c>
      <c r="B33" s="10" t="s">
        <v>33</v>
      </c>
      <c r="C33" s="9">
        <v>5</v>
      </c>
      <c r="D33" s="20" t="s">
        <v>74</v>
      </c>
      <c r="E33" s="9">
        <v>3442</v>
      </c>
    </row>
    <row r="34" spans="1:5" x14ac:dyDescent="0.2">
      <c r="A34" s="9" t="s">
        <v>38</v>
      </c>
      <c r="B34" s="10" t="s">
        <v>33</v>
      </c>
      <c r="C34" s="9">
        <v>6</v>
      </c>
      <c r="D34" s="20" t="s">
        <v>74</v>
      </c>
      <c r="E34" s="9">
        <v>3556</v>
      </c>
    </row>
    <row r="35" spans="1:5" x14ac:dyDescent="0.2">
      <c r="A35" s="9" t="s">
        <v>40</v>
      </c>
      <c r="B35" s="11" t="s">
        <v>36</v>
      </c>
      <c r="C35" s="9">
        <v>-4</v>
      </c>
      <c r="D35" s="19" t="s">
        <v>73</v>
      </c>
      <c r="E35" s="9">
        <v>3113</v>
      </c>
    </row>
    <row r="36" spans="1:5" x14ac:dyDescent="0.2">
      <c r="A36" s="9" t="s">
        <v>40</v>
      </c>
      <c r="B36" s="11" t="s">
        <v>36</v>
      </c>
      <c r="C36" s="9">
        <v>-3</v>
      </c>
      <c r="D36" s="19" t="s">
        <v>73</v>
      </c>
      <c r="E36" s="9">
        <v>3113</v>
      </c>
    </row>
    <row r="37" spans="1:5" x14ac:dyDescent="0.2">
      <c r="A37" s="9" t="s">
        <v>40</v>
      </c>
      <c r="B37" s="11" t="s">
        <v>36</v>
      </c>
      <c r="C37" s="9">
        <v>-2</v>
      </c>
      <c r="D37" s="19" t="s">
        <v>73</v>
      </c>
      <c r="E37" s="9">
        <v>3080</v>
      </c>
    </row>
    <row r="38" spans="1:5" x14ac:dyDescent="0.2">
      <c r="A38" s="9" t="s">
        <v>40</v>
      </c>
      <c r="B38" s="11" t="s">
        <v>36</v>
      </c>
      <c r="C38" s="9">
        <v>-1</v>
      </c>
      <c r="D38" s="19" t="s">
        <v>73</v>
      </c>
      <c r="E38" s="9">
        <v>3112</v>
      </c>
    </row>
    <row r="39" spans="1:5" x14ac:dyDescent="0.2">
      <c r="A39" s="9" t="s">
        <v>40</v>
      </c>
      <c r="B39" s="11" t="s">
        <v>36</v>
      </c>
      <c r="C39" s="9">
        <v>1</v>
      </c>
      <c r="D39" s="20" t="s">
        <v>74</v>
      </c>
      <c r="E39" s="9">
        <v>3199</v>
      </c>
    </row>
    <row r="40" spans="1:5" x14ac:dyDescent="0.2">
      <c r="A40" s="9" t="s">
        <v>40</v>
      </c>
      <c r="B40" s="11" t="s">
        <v>36</v>
      </c>
      <c r="C40" s="9">
        <v>2</v>
      </c>
      <c r="D40" s="20" t="s">
        <v>74</v>
      </c>
      <c r="E40" s="9">
        <v>3259</v>
      </c>
    </row>
    <row r="41" spans="1:5" x14ac:dyDescent="0.2">
      <c r="A41" s="9" t="s">
        <v>40</v>
      </c>
      <c r="B41" s="11" t="s">
        <v>36</v>
      </c>
      <c r="C41" s="9">
        <v>3</v>
      </c>
      <c r="D41" s="20" t="s">
        <v>74</v>
      </c>
      <c r="E41" s="9">
        <v>3334</v>
      </c>
    </row>
    <row r="42" spans="1:5" x14ac:dyDescent="0.2">
      <c r="A42" s="9" t="s">
        <v>40</v>
      </c>
      <c r="B42" s="11" t="s">
        <v>36</v>
      </c>
      <c r="C42" s="9">
        <v>4</v>
      </c>
      <c r="D42" s="20" t="s">
        <v>74</v>
      </c>
      <c r="E42" s="9">
        <v>3357</v>
      </c>
    </row>
    <row r="43" spans="1:5" x14ac:dyDescent="0.2">
      <c r="A43" s="9" t="s">
        <v>40</v>
      </c>
      <c r="B43" s="11" t="s">
        <v>36</v>
      </c>
      <c r="C43" s="9">
        <v>5</v>
      </c>
      <c r="D43" s="20" t="s">
        <v>74</v>
      </c>
      <c r="E43" s="9">
        <v>3377</v>
      </c>
    </row>
    <row r="44" spans="1:5" x14ac:dyDescent="0.2">
      <c r="A44" s="9" t="s">
        <v>40</v>
      </c>
      <c r="B44" s="11" t="s">
        <v>36</v>
      </c>
      <c r="C44" s="9">
        <v>6</v>
      </c>
      <c r="D44" s="20" t="s">
        <v>74</v>
      </c>
      <c r="E44" s="9">
        <v>3464</v>
      </c>
    </row>
    <row r="45" spans="1:5" x14ac:dyDescent="0.2">
      <c r="A45" s="9" t="s">
        <v>42</v>
      </c>
      <c r="B45" s="10" t="s">
        <v>33</v>
      </c>
      <c r="C45" s="9">
        <v>-4</v>
      </c>
      <c r="D45" s="19" t="s">
        <v>73</v>
      </c>
      <c r="E45" s="9">
        <v>2796</v>
      </c>
    </row>
    <row r="46" spans="1:5" x14ac:dyDescent="0.2">
      <c r="A46" s="9" t="s">
        <v>42</v>
      </c>
      <c r="B46" s="10" t="s">
        <v>33</v>
      </c>
      <c r="C46" s="9">
        <v>-3</v>
      </c>
      <c r="D46" s="19" t="s">
        <v>73</v>
      </c>
      <c r="E46" s="9">
        <v>2806</v>
      </c>
    </row>
    <row r="47" spans="1:5" x14ac:dyDescent="0.2">
      <c r="A47" s="9" t="s">
        <v>42</v>
      </c>
      <c r="B47" s="10" t="s">
        <v>33</v>
      </c>
      <c r="C47" s="9">
        <v>-2</v>
      </c>
      <c r="D47" s="19" t="s">
        <v>73</v>
      </c>
      <c r="E47" s="9">
        <v>2802</v>
      </c>
    </row>
    <row r="48" spans="1:5" x14ac:dyDescent="0.2">
      <c r="A48" s="9" t="s">
        <v>42</v>
      </c>
      <c r="B48" s="10" t="s">
        <v>33</v>
      </c>
      <c r="C48" s="9">
        <v>-1</v>
      </c>
      <c r="D48" s="19" t="s">
        <v>73</v>
      </c>
      <c r="E48" s="9">
        <v>2864</v>
      </c>
    </row>
    <row r="49" spans="1:5" x14ac:dyDescent="0.2">
      <c r="A49" s="9" t="s">
        <v>42</v>
      </c>
      <c r="B49" s="10" t="s">
        <v>33</v>
      </c>
      <c r="C49" s="9">
        <v>1</v>
      </c>
      <c r="D49" s="20" t="s">
        <v>74</v>
      </c>
      <c r="E49" s="9">
        <v>3031</v>
      </c>
    </row>
    <row r="50" spans="1:5" x14ac:dyDescent="0.2">
      <c r="A50" s="9" t="s">
        <v>42</v>
      </c>
      <c r="B50" s="10" t="s">
        <v>33</v>
      </c>
      <c r="C50" s="9">
        <v>2</v>
      </c>
      <c r="D50" s="20" t="s">
        <v>74</v>
      </c>
      <c r="E50" s="9">
        <v>3114</v>
      </c>
    </row>
    <row r="51" spans="1:5" x14ac:dyDescent="0.2">
      <c r="A51" s="9" t="s">
        <v>42</v>
      </c>
      <c r="B51" s="10" t="s">
        <v>33</v>
      </c>
      <c r="C51" s="9">
        <v>3</v>
      </c>
      <c r="D51" s="20" t="s">
        <v>74</v>
      </c>
      <c r="E51" s="9">
        <v>3144</v>
      </c>
    </row>
    <row r="52" spans="1:5" x14ac:dyDescent="0.2">
      <c r="A52" s="9" t="s">
        <v>42</v>
      </c>
      <c r="B52" s="10" t="s">
        <v>33</v>
      </c>
      <c r="C52" s="9">
        <v>4</v>
      </c>
      <c r="D52" s="20" t="s">
        <v>74</v>
      </c>
      <c r="E52" s="9">
        <v>3232</v>
      </c>
    </row>
    <row r="53" spans="1:5" x14ac:dyDescent="0.2">
      <c r="A53" s="9" t="s">
        <v>42</v>
      </c>
      <c r="B53" s="10" t="s">
        <v>33</v>
      </c>
      <c r="C53" s="9">
        <v>5</v>
      </c>
      <c r="D53" s="20" t="s">
        <v>74</v>
      </c>
      <c r="E53" s="9">
        <v>3259</v>
      </c>
    </row>
    <row r="54" spans="1:5" x14ac:dyDescent="0.2">
      <c r="A54" s="9" t="s">
        <v>42</v>
      </c>
      <c r="B54" s="10" t="s">
        <v>33</v>
      </c>
      <c r="C54" s="9">
        <v>6</v>
      </c>
      <c r="D54" s="20" t="s">
        <v>74</v>
      </c>
      <c r="E54" s="9">
        <v>3295</v>
      </c>
    </row>
    <row r="55" spans="1:5" x14ac:dyDescent="0.2">
      <c r="A55" s="9" t="s">
        <v>44</v>
      </c>
      <c r="B55" s="11" t="s">
        <v>36</v>
      </c>
      <c r="C55" s="9">
        <v>-4</v>
      </c>
      <c r="D55" s="19" t="s">
        <v>73</v>
      </c>
      <c r="E55" s="9">
        <v>3043</v>
      </c>
    </row>
    <row r="56" spans="1:5" x14ac:dyDescent="0.2">
      <c r="A56" s="9" t="s">
        <v>44</v>
      </c>
      <c r="B56" s="11" t="s">
        <v>36</v>
      </c>
      <c r="C56" s="9">
        <v>-3</v>
      </c>
      <c r="D56" s="19" t="s">
        <v>73</v>
      </c>
      <c r="E56" s="9">
        <v>2990</v>
      </c>
    </row>
    <row r="57" spans="1:5" x14ac:dyDescent="0.2">
      <c r="A57" s="9" t="s">
        <v>44</v>
      </c>
      <c r="B57" s="11" t="s">
        <v>36</v>
      </c>
      <c r="C57" s="9">
        <v>-2</v>
      </c>
      <c r="D57" s="19" t="s">
        <v>73</v>
      </c>
      <c r="E57" s="9">
        <v>2969</v>
      </c>
    </row>
    <row r="58" spans="1:5" x14ac:dyDescent="0.2">
      <c r="A58" s="9" t="s">
        <v>44</v>
      </c>
      <c r="B58" s="11" t="s">
        <v>36</v>
      </c>
      <c r="C58" s="9">
        <v>-1</v>
      </c>
      <c r="D58" s="19" t="s">
        <v>73</v>
      </c>
      <c r="E58" s="9">
        <v>3074</v>
      </c>
    </row>
    <row r="59" spans="1:5" x14ac:dyDescent="0.2">
      <c r="A59" s="9" t="s">
        <v>44</v>
      </c>
      <c r="B59" s="11" t="s">
        <v>36</v>
      </c>
      <c r="C59" s="9">
        <v>1</v>
      </c>
      <c r="D59" s="20" t="s">
        <v>74</v>
      </c>
      <c r="E59" s="9">
        <v>3104</v>
      </c>
    </row>
    <row r="60" spans="1:5" x14ac:dyDescent="0.2">
      <c r="A60" s="9" t="s">
        <v>44</v>
      </c>
      <c r="B60" s="11" t="s">
        <v>36</v>
      </c>
      <c r="C60" s="9">
        <v>2</v>
      </c>
      <c r="D60" s="20" t="s">
        <v>74</v>
      </c>
      <c r="E60" s="9">
        <v>3179</v>
      </c>
    </row>
    <row r="61" spans="1:5" x14ac:dyDescent="0.2">
      <c r="A61" s="9" t="s">
        <v>44</v>
      </c>
      <c r="B61" s="11" t="s">
        <v>36</v>
      </c>
      <c r="C61" s="9">
        <v>3</v>
      </c>
      <c r="D61" s="20" t="s">
        <v>74</v>
      </c>
      <c r="E61" s="9">
        <v>3169</v>
      </c>
    </row>
    <row r="62" spans="1:5" x14ac:dyDescent="0.2">
      <c r="A62" s="9" t="s">
        <v>44</v>
      </c>
      <c r="B62" s="11" t="s">
        <v>36</v>
      </c>
      <c r="C62" s="9">
        <v>4</v>
      </c>
      <c r="D62" s="20" t="s">
        <v>74</v>
      </c>
      <c r="E62" s="9">
        <v>3270</v>
      </c>
    </row>
    <row r="63" spans="1:5" x14ac:dyDescent="0.2">
      <c r="A63" s="9" t="s">
        <v>44</v>
      </c>
      <c r="B63" s="11" t="s">
        <v>36</v>
      </c>
      <c r="C63" s="9">
        <v>5</v>
      </c>
      <c r="D63" s="20" t="s">
        <v>74</v>
      </c>
      <c r="E63" s="9">
        <v>3309</v>
      </c>
    </row>
    <row r="64" spans="1:5" x14ac:dyDescent="0.2">
      <c r="A64" s="9" t="s">
        <v>44</v>
      </c>
      <c r="B64" s="11" t="s">
        <v>36</v>
      </c>
      <c r="C64" s="9">
        <v>6</v>
      </c>
      <c r="D64" s="20" t="s">
        <v>74</v>
      </c>
      <c r="E64" s="9">
        <v>3352</v>
      </c>
    </row>
    <row r="65" spans="1:5" x14ac:dyDescent="0.2">
      <c r="A65" s="9" t="s">
        <v>45</v>
      </c>
      <c r="B65" s="10" t="s">
        <v>33</v>
      </c>
      <c r="C65" s="9">
        <v>-4</v>
      </c>
      <c r="D65" s="19" t="s">
        <v>73</v>
      </c>
      <c r="E65" s="9">
        <v>2832</v>
      </c>
    </row>
    <row r="66" spans="1:5" x14ac:dyDescent="0.2">
      <c r="A66" s="9" t="s">
        <v>45</v>
      </c>
      <c r="B66" s="10" t="s">
        <v>33</v>
      </c>
      <c r="C66" s="9">
        <v>-3</v>
      </c>
      <c r="D66" s="19" t="s">
        <v>73</v>
      </c>
      <c r="E66" s="9">
        <v>2807</v>
      </c>
    </row>
    <row r="67" spans="1:5" x14ac:dyDescent="0.2">
      <c r="A67" s="9" t="s">
        <v>45</v>
      </c>
      <c r="B67" s="10" t="s">
        <v>33</v>
      </c>
      <c r="C67" s="9">
        <v>-2</v>
      </c>
      <c r="D67" s="19" t="s">
        <v>73</v>
      </c>
      <c r="E67" s="9">
        <v>2794</v>
      </c>
    </row>
    <row r="68" spans="1:5" x14ac:dyDescent="0.2">
      <c r="A68" s="9" t="s">
        <v>45</v>
      </c>
      <c r="B68" s="10" t="s">
        <v>33</v>
      </c>
      <c r="C68" s="9">
        <v>-1</v>
      </c>
      <c r="D68" s="19" t="s">
        <v>73</v>
      </c>
      <c r="E68" s="9">
        <v>2856</v>
      </c>
    </row>
    <row r="69" spans="1:5" x14ac:dyDescent="0.2">
      <c r="A69" s="9" t="s">
        <v>45</v>
      </c>
      <c r="B69" s="10" t="s">
        <v>33</v>
      </c>
      <c r="C69" s="9">
        <v>1</v>
      </c>
      <c r="D69" s="20" t="s">
        <v>74</v>
      </c>
      <c r="E69" s="9">
        <v>3059</v>
      </c>
    </row>
    <row r="70" spans="1:5" x14ac:dyDescent="0.2">
      <c r="A70" s="9" t="s">
        <v>45</v>
      </c>
      <c r="B70" s="10" t="s">
        <v>33</v>
      </c>
      <c r="C70" s="9">
        <v>2</v>
      </c>
      <c r="D70" s="20" t="s">
        <v>74</v>
      </c>
      <c r="E70" s="9">
        <v>3104</v>
      </c>
    </row>
    <row r="71" spans="1:5" x14ac:dyDescent="0.2">
      <c r="A71" s="9" t="s">
        <v>45</v>
      </c>
      <c r="B71" s="10" t="s">
        <v>33</v>
      </c>
      <c r="C71" s="9">
        <v>3</v>
      </c>
      <c r="D71" s="20" t="s">
        <v>74</v>
      </c>
      <c r="E71" s="9">
        <v>3170</v>
      </c>
    </row>
    <row r="72" spans="1:5" x14ac:dyDescent="0.2">
      <c r="A72" s="9" t="s">
        <v>45</v>
      </c>
      <c r="B72" s="10" t="s">
        <v>33</v>
      </c>
      <c r="C72" s="9">
        <v>4</v>
      </c>
      <c r="D72" s="20" t="s">
        <v>74</v>
      </c>
      <c r="E72" s="9">
        <v>3238</v>
      </c>
    </row>
    <row r="73" spans="1:5" x14ac:dyDescent="0.2">
      <c r="A73" s="9" t="s">
        <v>45</v>
      </c>
      <c r="B73" s="10" t="s">
        <v>33</v>
      </c>
      <c r="C73" s="9">
        <v>5</v>
      </c>
      <c r="D73" s="20" t="s">
        <v>74</v>
      </c>
      <c r="E73" s="9">
        <v>3237</v>
      </c>
    </row>
    <row r="74" spans="1:5" x14ac:dyDescent="0.2">
      <c r="A74" s="9" t="s">
        <v>45</v>
      </c>
      <c r="B74" s="10" t="s">
        <v>33</v>
      </c>
      <c r="C74" s="9">
        <v>6</v>
      </c>
      <c r="D74" s="20" t="s">
        <v>74</v>
      </c>
      <c r="E74" s="9">
        <v>3326</v>
      </c>
    </row>
    <row r="75" spans="1:5" x14ac:dyDescent="0.2">
      <c r="A75" s="9" t="s">
        <v>46</v>
      </c>
      <c r="B75" s="11" t="s">
        <v>36</v>
      </c>
      <c r="C75" s="9">
        <v>-4</v>
      </c>
      <c r="D75" s="19" t="s">
        <v>73</v>
      </c>
      <c r="E75" s="9">
        <v>2862</v>
      </c>
    </row>
    <row r="76" spans="1:5" x14ac:dyDescent="0.2">
      <c r="A76" s="9" t="s">
        <v>46</v>
      </c>
      <c r="B76" s="11" t="s">
        <v>36</v>
      </c>
      <c r="C76" s="9">
        <v>-3</v>
      </c>
      <c r="D76" s="19" t="s">
        <v>73</v>
      </c>
      <c r="E76" s="9">
        <v>2941</v>
      </c>
    </row>
    <row r="77" spans="1:5" x14ac:dyDescent="0.2">
      <c r="A77" s="9" t="s">
        <v>46</v>
      </c>
      <c r="B77" s="11" t="s">
        <v>36</v>
      </c>
      <c r="C77" s="9">
        <v>-2</v>
      </c>
      <c r="D77" s="19" t="s">
        <v>73</v>
      </c>
      <c r="E77" s="9">
        <v>2890</v>
      </c>
    </row>
    <row r="78" spans="1:5" x14ac:dyDescent="0.2">
      <c r="A78" s="9" t="s">
        <v>46</v>
      </c>
      <c r="B78" s="11" t="s">
        <v>36</v>
      </c>
      <c r="C78" s="9">
        <v>-1</v>
      </c>
      <c r="D78" s="19" t="s">
        <v>73</v>
      </c>
      <c r="E78" s="9">
        <v>2992</v>
      </c>
    </row>
    <row r="79" spans="1:5" x14ac:dyDescent="0.2">
      <c r="A79" s="9" t="s">
        <v>46</v>
      </c>
      <c r="B79" s="11" t="s">
        <v>36</v>
      </c>
      <c r="C79" s="9">
        <v>1</v>
      </c>
      <c r="D79" s="20" t="s">
        <v>74</v>
      </c>
      <c r="E79" s="9">
        <v>3059</v>
      </c>
    </row>
    <row r="80" spans="1:5" x14ac:dyDescent="0.2">
      <c r="A80" s="9" t="s">
        <v>46</v>
      </c>
      <c r="B80" s="11" t="s">
        <v>36</v>
      </c>
      <c r="C80" s="9">
        <v>2</v>
      </c>
      <c r="D80" s="20" t="s">
        <v>74</v>
      </c>
      <c r="E80" s="9">
        <v>3055</v>
      </c>
    </row>
    <row r="81" spans="1:5" x14ac:dyDescent="0.2">
      <c r="A81" s="9" t="s">
        <v>46</v>
      </c>
      <c r="B81" s="11" t="s">
        <v>36</v>
      </c>
      <c r="C81" s="9">
        <v>3</v>
      </c>
      <c r="D81" s="20" t="s">
        <v>74</v>
      </c>
      <c r="E81" s="9">
        <v>3093</v>
      </c>
    </row>
    <row r="82" spans="1:5" x14ac:dyDescent="0.2">
      <c r="A82" s="9" t="s">
        <v>46</v>
      </c>
      <c r="B82" s="11" t="s">
        <v>36</v>
      </c>
      <c r="C82" s="9">
        <v>4</v>
      </c>
      <c r="D82" s="20" t="s">
        <v>74</v>
      </c>
      <c r="E82" s="9">
        <v>3161</v>
      </c>
    </row>
    <row r="83" spans="1:5" x14ac:dyDescent="0.2">
      <c r="A83" s="9" t="s">
        <v>46</v>
      </c>
      <c r="B83" s="11" t="s">
        <v>36</v>
      </c>
      <c r="C83" s="9">
        <v>5</v>
      </c>
      <c r="D83" s="20" t="s">
        <v>74</v>
      </c>
      <c r="E83" s="9">
        <v>3134</v>
      </c>
    </row>
    <row r="84" spans="1:5" x14ac:dyDescent="0.2">
      <c r="A84" s="9" t="s">
        <v>46</v>
      </c>
      <c r="B84" s="11" t="s">
        <v>36</v>
      </c>
      <c r="C84" s="9">
        <v>6</v>
      </c>
      <c r="D84" s="20" t="s">
        <v>74</v>
      </c>
      <c r="E84" s="9">
        <v>3230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4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13" customWidth="1"/>
    <col min="3" max="3" width="8" customWidth="1"/>
    <col min="4" max="4" width="10" customWidth="1"/>
    <col min="5" max="5" width="12" customWidth="1"/>
  </cols>
  <sheetData>
    <row r="1" spans="1:5" ht="18" x14ac:dyDescent="0.2">
      <c r="A1" s="3" t="s">
        <v>75</v>
      </c>
    </row>
    <row r="2" spans="1:5" x14ac:dyDescent="0.2">
      <c r="A2" s="18" t="s">
        <v>76</v>
      </c>
    </row>
    <row r="4" spans="1:5" x14ac:dyDescent="0.2">
      <c r="A4" s="8" t="s">
        <v>28</v>
      </c>
      <c r="B4" s="8" t="s">
        <v>29</v>
      </c>
      <c r="C4" s="8" t="s">
        <v>70</v>
      </c>
      <c r="D4" s="8" t="s">
        <v>71</v>
      </c>
      <c r="E4" s="8" t="s">
        <v>77</v>
      </c>
    </row>
    <row r="5" spans="1:5" x14ac:dyDescent="0.2">
      <c r="A5" s="9" t="s">
        <v>32</v>
      </c>
      <c r="B5" s="10" t="s">
        <v>33</v>
      </c>
      <c r="C5" s="9">
        <v>-4</v>
      </c>
      <c r="D5" s="9" t="s">
        <v>73</v>
      </c>
      <c r="E5" s="15">
        <v>10000</v>
      </c>
    </row>
    <row r="6" spans="1:5" x14ac:dyDescent="0.2">
      <c r="A6" s="9" t="s">
        <v>32</v>
      </c>
      <c r="B6" s="10" t="s">
        <v>33</v>
      </c>
      <c r="C6" s="9">
        <v>-3</v>
      </c>
      <c r="D6" s="9" t="s">
        <v>73</v>
      </c>
      <c r="E6" s="15">
        <v>10000</v>
      </c>
    </row>
    <row r="7" spans="1:5" x14ac:dyDescent="0.2">
      <c r="A7" s="9" t="s">
        <v>32</v>
      </c>
      <c r="B7" s="10" t="s">
        <v>33</v>
      </c>
      <c r="C7" s="9">
        <v>-2</v>
      </c>
      <c r="D7" s="9" t="s">
        <v>73</v>
      </c>
      <c r="E7" s="15">
        <v>10000</v>
      </c>
    </row>
    <row r="8" spans="1:5" x14ac:dyDescent="0.2">
      <c r="A8" s="9" t="s">
        <v>32</v>
      </c>
      <c r="B8" s="10" t="s">
        <v>33</v>
      </c>
      <c r="C8" s="9">
        <v>-1</v>
      </c>
      <c r="D8" s="9" t="s">
        <v>73</v>
      </c>
      <c r="E8" s="15">
        <v>10000</v>
      </c>
    </row>
    <row r="9" spans="1:5" x14ac:dyDescent="0.2">
      <c r="A9" s="9" t="s">
        <v>32</v>
      </c>
      <c r="B9" s="10" t="s">
        <v>33</v>
      </c>
      <c r="C9" s="9">
        <v>1</v>
      </c>
      <c r="D9" s="9" t="s">
        <v>74</v>
      </c>
      <c r="E9" s="15">
        <v>15000</v>
      </c>
    </row>
    <row r="10" spans="1:5" x14ac:dyDescent="0.2">
      <c r="A10" s="9" t="s">
        <v>32</v>
      </c>
      <c r="B10" s="10" t="s">
        <v>33</v>
      </c>
      <c r="C10" s="9">
        <v>2</v>
      </c>
      <c r="D10" s="9" t="s">
        <v>74</v>
      </c>
      <c r="E10" s="15">
        <v>15000</v>
      </c>
    </row>
    <row r="11" spans="1:5" x14ac:dyDescent="0.2">
      <c r="A11" s="9" t="s">
        <v>32</v>
      </c>
      <c r="B11" s="10" t="s">
        <v>33</v>
      </c>
      <c r="C11" s="9">
        <v>3</v>
      </c>
      <c r="D11" s="9" t="s">
        <v>74</v>
      </c>
      <c r="E11" s="15">
        <v>15000</v>
      </c>
    </row>
    <row r="12" spans="1:5" x14ac:dyDescent="0.2">
      <c r="A12" s="9" t="s">
        <v>32</v>
      </c>
      <c r="B12" s="10" t="s">
        <v>33</v>
      </c>
      <c r="C12" s="9">
        <v>4</v>
      </c>
      <c r="D12" s="9" t="s">
        <v>74</v>
      </c>
      <c r="E12" s="15">
        <v>15000</v>
      </c>
    </row>
    <row r="13" spans="1:5" x14ac:dyDescent="0.2">
      <c r="A13" s="9" t="s">
        <v>32</v>
      </c>
      <c r="B13" s="10" t="s">
        <v>33</v>
      </c>
      <c r="C13" s="9">
        <v>5</v>
      </c>
      <c r="D13" s="9" t="s">
        <v>74</v>
      </c>
      <c r="E13" s="15">
        <v>15000</v>
      </c>
    </row>
    <row r="14" spans="1:5" x14ac:dyDescent="0.2">
      <c r="A14" s="9" t="s">
        <v>32</v>
      </c>
      <c r="B14" s="10" t="s">
        <v>33</v>
      </c>
      <c r="C14" s="9">
        <v>6</v>
      </c>
      <c r="D14" s="9" t="s">
        <v>74</v>
      </c>
      <c r="E14" s="15">
        <v>15000</v>
      </c>
    </row>
    <row r="15" spans="1:5" x14ac:dyDescent="0.2">
      <c r="A15" s="9" t="s">
        <v>35</v>
      </c>
      <c r="B15" s="11" t="s">
        <v>36</v>
      </c>
      <c r="C15" s="9">
        <v>-4</v>
      </c>
      <c r="D15" s="9" t="s">
        <v>73</v>
      </c>
      <c r="E15" s="15">
        <v>10000</v>
      </c>
    </row>
    <row r="16" spans="1:5" x14ac:dyDescent="0.2">
      <c r="A16" s="9" t="s">
        <v>35</v>
      </c>
      <c r="B16" s="11" t="s">
        <v>36</v>
      </c>
      <c r="C16" s="9">
        <v>-3</v>
      </c>
      <c r="D16" s="9" t="s">
        <v>73</v>
      </c>
      <c r="E16" s="15">
        <v>10000</v>
      </c>
    </row>
    <row r="17" spans="1:5" x14ac:dyDescent="0.2">
      <c r="A17" s="9" t="s">
        <v>35</v>
      </c>
      <c r="B17" s="11" t="s">
        <v>36</v>
      </c>
      <c r="C17" s="9">
        <v>-2</v>
      </c>
      <c r="D17" s="9" t="s">
        <v>73</v>
      </c>
      <c r="E17" s="15">
        <v>10000</v>
      </c>
    </row>
    <row r="18" spans="1:5" x14ac:dyDescent="0.2">
      <c r="A18" s="9" t="s">
        <v>35</v>
      </c>
      <c r="B18" s="11" t="s">
        <v>36</v>
      </c>
      <c r="C18" s="9">
        <v>-1</v>
      </c>
      <c r="D18" s="9" t="s">
        <v>73</v>
      </c>
      <c r="E18" s="15">
        <v>10000</v>
      </c>
    </row>
    <row r="19" spans="1:5" x14ac:dyDescent="0.2">
      <c r="A19" s="9" t="s">
        <v>35</v>
      </c>
      <c r="B19" s="11" t="s">
        <v>36</v>
      </c>
      <c r="C19" s="9">
        <v>1</v>
      </c>
      <c r="D19" s="9" t="s">
        <v>74</v>
      </c>
      <c r="E19" s="15">
        <v>10000</v>
      </c>
    </row>
    <row r="20" spans="1:5" x14ac:dyDescent="0.2">
      <c r="A20" s="9" t="s">
        <v>35</v>
      </c>
      <c r="B20" s="11" t="s">
        <v>36</v>
      </c>
      <c r="C20" s="9">
        <v>2</v>
      </c>
      <c r="D20" s="9" t="s">
        <v>74</v>
      </c>
      <c r="E20" s="15">
        <v>10000</v>
      </c>
    </row>
    <row r="21" spans="1:5" x14ac:dyDescent="0.2">
      <c r="A21" s="9" t="s">
        <v>35</v>
      </c>
      <c r="B21" s="11" t="s">
        <v>36</v>
      </c>
      <c r="C21" s="9">
        <v>3</v>
      </c>
      <c r="D21" s="9" t="s">
        <v>74</v>
      </c>
      <c r="E21" s="15">
        <v>10000</v>
      </c>
    </row>
    <row r="22" spans="1:5" x14ac:dyDescent="0.2">
      <c r="A22" s="9" t="s">
        <v>35</v>
      </c>
      <c r="B22" s="11" t="s">
        <v>36</v>
      </c>
      <c r="C22" s="9">
        <v>4</v>
      </c>
      <c r="D22" s="9" t="s">
        <v>74</v>
      </c>
      <c r="E22" s="15">
        <v>10000</v>
      </c>
    </row>
    <row r="23" spans="1:5" x14ac:dyDescent="0.2">
      <c r="A23" s="9" t="s">
        <v>35</v>
      </c>
      <c r="B23" s="11" t="s">
        <v>36</v>
      </c>
      <c r="C23" s="9">
        <v>5</v>
      </c>
      <c r="D23" s="9" t="s">
        <v>74</v>
      </c>
      <c r="E23" s="15">
        <v>10000</v>
      </c>
    </row>
    <row r="24" spans="1:5" x14ac:dyDescent="0.2">
      <c r="A24" s="9" t="s">
        <v>35</v>
      </c>
      <c r="B24" s="11" t="s">
        <v>36</v>
      </c>
      <c r="C24" s="9">
        <v>6</v>
      </c>
      <c r="D24" s="9" t="s">
        <v>74</v>
      </c>
      <c r="E24" s="15">
        <v>10000</v>
      </c>
    </row>
    <row r="25" spans="1:5" x14ac:dyDescent="0.2">
      <c r="A25" s="9" t="s">
        <v>38</v>
      </c>
      <c r="B25" s="10" t="s">
        <v>33</v>
      </c>
      <c r="C25" s="9">
        <v>-4</v>
      </c>
      <c r="D25" s="9" t="s">
        <v>73</v>
      </c>
      <c r="E25" s="15">
        <v>10000</v>
      </c>
    </row>
    <row r="26" spans="1:5" x14ac:dyDescent="0.2">
      <c r="A26" s="9" t="s">
        <v>38</v>
      </c>
      <c r="B26" s="10" t="s">
        <v>33</v>
      </c>
      <c r="C26" s="9">
        <v>-3</v>
      </c>
      <c r="D26" s="9" t="s">
        <v>73</v>
      </c>
      <c r="E26" s="15">
        <v>10000</v>
      </c>
    </row>
    <row r="27" spans="1:5" x14ac:dyDescent="0.2">
      <c r="A27" s="9" t="s">
        <v>38</v>
      </c>
      <c r="B27" s="10" t="s">
        <v>33</v>
      </c>
      <c r="C27" s="9">
        <v>-2</v>
      </c>
      <c r="D27" s="9" t="s">
        <v>73</v>
      </c>
      <c r="E27" s="15">
        <v>10000</v>
      </c>
    </row>
    <row r="28" spans="1:5" x14ac:dyDescent="0.2">
      <c r="A28" s="9" t="s">
        <v>38</v>
      </c>
      <c r="B28" s="10" t="s">
        <v>33</v>
      </c>
      <c r="C28" s="9">
        <v>-1</v>
      </c>
      <c r="D28" s="9" t="s">
        <v>73</v>
      </c>
      <c r="E28" s="15">
        <v>10000</v>
      </c>
    </row>
    <row r="29" spans="1:5" x14ac:dyDescent="0.2">
      <c r="A29" s="9" t="s">
        <v>38</v>
      </c>
      <c r="B29" s="10" t="s">
        <v>33</v>
      </c>
      <c r="C29" s="9">
        <v>1</v>
      </c>
      <c r="D29" s="9" t="s">
        <v>74</v>
      </c>
      <c r="E29" s="15">
        <v>15000</v>
      </c>
    </row>
    <row r="30" spans="1:5" x14ac:dyDescent="0.2">
      <c r="A30" s="9" t="s">
        <v>38</v>
      </c>
      <c r="B30" s="10" t="s">
        <v>33</v>
      </c>
      <c r="C30" s="9">
        <v>2</v>
      </c>
      <c r="D30" s="9" t="s">
        <v>74</v>
      </c>
      <c r="E30" s="15">
        <v>15000</v>
      </c>
    </row>
    <row r="31" spans="1:5" x14ac:dyDescent="0.2">
      <c r="A31" s="9" t="s">
        <v>38</v>
      </c>
      <c r="B31" s="10" t="s">
        <v>33</v>
      </c>
      <c r="C31" s="9">
        <v>3</v>
      </c>
      <c r="D31" s="9" t="s">
        <v>74</v>
      </c>
      <c r="E31" s="15">
        <v>15000</v>
      </c>
    </row>
    <row r="32" spans="1:5" x14ac:dyDescent="0.2">
      <c r="A32" s="9" t="s">
        <v>38</v>
      </c>
      <c r="B32" s="10" t="s">
        <v>33</v>
      </c>
      <c r="C32" s="9">
        <v>4</v>
      </c>
      <c r="D32" s="9" t="s">
        <v>74</v>
      </c>
      <c r="E32" s="15">
        <v>15000</v>
      </c>
    </row>
    <row r="33" spans="1:5" x14ac:dyDescent="0.2">
      <c r="A33" s="9" t="s">
        <v>38</v>
      </c>
      <c r="B33" s="10" t="s">
        <v>33</v>
      </c>
      <c r="C33" s="9">
        <v>5</v>
      </c>
      <c r="D33" s="9" t="s">
        <v>74</v>
      </c>
      <c r="E33" s="15">
        <v>15000</v>
      </c>
    </row>
    <row r="34" spans="1:5" x14ac:dyDescent="0.2">
      <c r="A34" s="9" t="s">
        <v>38</v>
      </c>
      <c r="B34" s="10" t="s">
        <v>33</v>
      </c>
      <c r="C34" s="9">
        <v>6</v>
      </c>
      <c r="D34" s="9" t="s">
        <v>74</v>
      </c>
      <c r="E34" s="15">
        <v>15000</v>
      </c>
    </row>
    <row r="35" spans="1:5" x14ac:dyDescent="0.2">
      <c r="A35" s="9" t="s">
        <v>40</v>
      </c>
      <c r="B35" s="11" t="s">
        <v>36</v>
      </c>
      <c r="C35" s="9">
        <v>-4</v>
      </c>
      <c r="D35" s="9" t="s">
        <v>73</v>
      </c>
      <c r="E35" s="15">
        <v>10000</v>
      </c>
    </row>
    <row r="36" spans="1:5" x14ac:dyDescent="0.2">
      <c r="A36" s="9" t="s">
        <v>40</v>
      </c>
      <c r="B36" s="11" t="s">
        <v>36</v>
      </c>
      <c r="C36" s="9">
        <v>-3</v>
      </c>
      <c r="D36" s="9" t="s">
        <v>73</v>
      </c>
      <c r="E36" s="15">
        <v>10000</v>
      </c>
    </row>
    <row r="37" spans="1:5" x14ac:dyDescent="0.2">
      <c r="A37" s="9" t="s">
        <v>40</v>
      </c>
      <c r="B37" s="11" t="s">
        <v>36</v>
      </c>
      <c r="C37" s="9">
        <v>-2</v>
      </c>
      <c r="D37" s="9" t="s">
        <v>73</v>
      </c>
      <c r="E37" s="15">
        <v>10000</v>
      </c>
    </row>
    <row r="38" spans="1:5" x14ac:dyDescent="0.2">
      <c r="A38" s="9" t="s">
        <v>40</v>
      </c>
      <c r="B38" s="11" t="s">
        <v>36</v>
      </c>
      <c r="C38" s="9">
        <v>-1</v>
      </c>
      <c r="D38" s="9" t="s">
        <v>73</v>
      </c>
      <c r="E38" s="15">
        <v>10000</v>
      </c>
    </row>
    <row r="39" spans="1:5" x14ac:dyDescent="0.2">
      <c r="A39" s="9" t="s">
        <v>40</v>
      </c>
      <c r="B39" s="11" t="s">
        <v>36</v>
      </c>
      <c r="C39" s="9">
        <v>1</v>
      </c>
      <c r="D39" s="9" t="s">
        <v>74</v>
      </c>
      <c r="E39" s="15">
        <v>10000</v>
      </c>
    </row>
    <row r="40" spans="1:5" x14ac:dyDescent="0.2">
      <c r="A40" s="9" t="s">
        <v>40</v>
      </c>
      <c r="B40" s="11" t="s">
        <v>36</v>
      </c>
      <c r="C40" s="9">
        <v>2</v>
      </c>
      <c r="D40" s="9" t="s">
        <v>74</v>
      </c>
      <c r="E40" s="15">
        <v>10000</v>
      </c>
    </row>
    <row r="41" spans="1:5" x14ac:dyDescent="0.2">
      <c r="A41" s="9" t="s">
        <v>40</v>
      </c>
      <c r="B41" s="11" t="s">
        <v>36</v>
      </c>
      <c r="C41" s="9">
        <v>3</v>
      </c>
      <c r="D41" s="9" t="s">
        <v>74</v>
      </c>
      <c r="E41" s="15">
        <v>10000</v>
      </c>
    </row>
    <row r="42" spans="1:5" x14ac:dyDescent="0.2">
      <c r="A42" s="9" t="s">
        <v>40</v>
      </c>
      <c r="B42" s="11" t="s">
        <v>36</v>
      </c>
      <c r="C42" s="9">
        <v>4</v>
      </c>
      <c r="D42" s="9" t="s">
        <v>74</v>
      </c>
      <c r="E42" s="15">
        <v>10000</v>
      </c>
    </row>
    <row r="43" spans="1:5" x14ac:dyDescent="0.2">
      <c r="A43" s="9" t="s">
        <v>40</v>
      </c>
      <c r="B43" s="11" t="s">
        <v>36</v>
      </c>
      <c r="C43" s="9">
        <v>5</v>
      </c>
      <c r="D43" s="9" t="s">
        <v>74</v>
      </c>
      <c r="E43" s="15">
        <v>10000</v>
      </c>
    </row>
    <row r="44" spans="1:5" x14ac:dyDescent="0.2">
      <c r="A44" s="9" t="s">
        <v>40</v>
      </c>
      <c r="B44" s="11" t="s">
        <v>36</v>
      </c>
      <c r="C44" s="9">
        <v>6</v>
      </c>
      <c r="D44" s="9" t="s">
        <v>74</v>
      </c>
      <c r="E44" s="15">
        <v>10000</v>
      </c>
    </row>
    <row r="45" spans="1:5" x14ac:dyDescent="0.2">
      <c r="A45" s="9" t="s">
        <v>42</v>
      </c>
      <c r="B45" s="10" t="s">
        <v>33</v>
      </c>
      <c r="C45" s="9">
        <v>-4</v>
      </c>
      <c r="D45" s="9" t="s">
        <v>73</v>
      </c>
      <c r="E45" s="15">
        <v>10000</v>
      </c>
    </row>
    <row r="46" spans="1:5" x14ac:dyDescent="0.2">
      <c r="A46" s="9" t="s">
        <v>42</v>
      </c>
      <c r="B46" s="10" t="s">
        <v>33</v>
      </c>
      <c r="C46" s="9">
        <v>-3</v>
      </c>
      <c r="D46" s="9" t="s">
        <v>73</v>
      </c>
      <c r="E46" s="15">
        <v>10000</v>
      </c>
    </row>
    <row r="47" spans="1:5" x14ac:dyDescent="0.2">
      <c r="A47" s="9" t="s">
        <v>42</v>
      </c>
      <c r="B47" s="10" t="s">
        <v>33</v>
      </c>
      <c r="C47" s="9">
        <v>-2</v>
      </c>
      <c r="D47" s="9" t="s">
        <v>73</v>
      </c>
      <c r="E47" s="15">
        <v>10000</v>
      </c>
    </row>
    <row r="48" spans="1:5" x14ac:dyDescent="0.2">
      <c r="A48" s="9" t="s">
        <v>42</v>
      </c>
      <c r="B48" s="10" t="s">
        <v>33</v>
      </c>
      <c r="C48" s="9">
        <v>-1</v>
      </c>
      <c r="D48" s="9" t="s">
        <v>73</v>
      </c>
      <c r="E48" s="15">
        <v>10000</v>
      </c>
    </row>
    <row r="49" spans="1:5" x14ac:dyDescent="0.2">
      <c r="A49" s="9" t="s">
        <v>42</v>
      </c>
      <c r="B49" s="10" t="s">
        <v>33</v>
      </c>
      <c r="C49" s="9">
        <v>1</v>
      </c>
      <c r="D49" s="9" t="s">
        <v>74</v>
      </c>
      <c r="E49" s="15">
        <v>15000</v>
      </c>
    </row>
    <row r="50" spans="1:5" x14ac:dyDescent="0.2">
      <c r="A50" s="9" t="s">
        <v>42</v>
      </c>
      <c r="B50" s="10" t="s">
        <v>33</v>
      </c>
      <c r="C50" s="9">
        <v>2</v>
      </c>
      <c r="D50" s="9" t="s">
        <v>74</v>
      </c>
      <c r="E50" s="15">
        <v>15000</v>
      </c>
    </row>
    <row r="51" spans="1:5" x14ac:dyDescent="0.2">
      <c r="A51" s="9" t="s">
        <v>42</v>
      </c>
      <c r="B51" s="10" t="s">
        <v>33</v>
      </c>
      <c r="C51" s="9">
        <v>3</v>
      </c>
      <c r="D51" s="9" t="s">
        <v>74</v>
      </c>
      <c r="E51" s="15">
        <v>15000</v>
      </c>
    </row>
    <row r="52" spans="1:5" x14ac:dyDescent="0.2">
      <c r="A52" s="9" t="s">
        <v>42</v>
      </c>
      <c r="B52" s="10" t="s">
        <v>33</v>
      </c>
      <c r="C52" s="9">
        <v>4</v>
      </c>
      <c r="D52" s="9" t="s">
        <v>74</v>
      </c>
      <c r="E52" s="15">
        <v>15000</v>
      </c>
    </row>
    <row r="53" spans="1:5" x14ac:dyDescent="0.2">
      <c r="A53" s="9" t="s">
        <v>42</v>
      </c>
      <c r="B53" s="10" t="s">
        <v>33</v>
      </c>
      <c r="C53" s="9">
        <v>5</v>
      </c>
      <c r="D53" s="9" t="s">
        <v>74</v>
      </c>
      <c r="E53" s="15">
        <v>15000</v>
      </c>
    </row>
    <row r="54" spans="1:5" x14ac:dyDescent="0.2">
      <c r="A54" s="9" t="s">
        <v>42</v>
      </c>
      <c r="B54" s="10" t="s">
        <v>33</v>
      </c>
      <c r="C54" s="9">
        <v>6</v>
      </c>
      <c r="D54" s="9" t="s">
        <v>74</v>
      </c>
      <c r="E54" s="15">
        <v>15000</v>
      </c>
    </row>
    <row r="55" spans="1:5" x14ac:dyDescent="0.2">
      <c r="A55" s="9" t="s">
        <v>44</v>
      </c>
      <c r="B55" s="11" t="s">
        <v>36</v>
      </c>
      <c r="C55" s="9">
        <v>-4</v>
      </c>
      <c r="D55" s="9" t="s">
        <v>73</v>
      </c>
      <c r="E55" s="15">
        <v>10000</v>
      </c>
    </row>
    <row r="56" spans="1:5" x14ac:dyDescent="0.2">
      <c r="A56" s="9" t="s">
        <v>44</v>
      </c>
      <c r="B56" s="11" t="s">
        <v>36</v>
      </c>
      <c r="C56" s="9">
        <v>-3</v>
      </c>
      <c r="D56" s="9" t="s">
        <v>73</v>
      </c>
      <c r="E56" s="15">
        <v>10000</v>
      </c>
    </row>
    <row r="57" spans="1:5" x14ac:dyDescent="0.2">
      <c r="A57" s="9" t="s">
        <v>44</v>
      </c>
      <c r="B57" s="11" t="s">
        <v>36</v>
      </c>
      <c r="C57" s="9">
        <v>-2</v>
      </c>
      <c r="D57" s="9" t="s">
        <v>73</v>
      </c>
      <c r="E57" s="15">
        <v>10000</v>
      </c>
    </row>
    <row r="58" spans="1:5" x14ac:dyDescent="0.2">
      <c r="A58" s="9" t="s">
        <v>44</v>
      </c>
      <c r="B58" s="11" t="s">
        <v>36</v>
      </c>
      <c r="C58" s="9">
        <v>-1</v>
      </c>
      <c r="D58" s="9" t="s">
        <v>73</v>
      </c>
      <c r="E58" s="15">
        <v>10000</v>
      </c>
    </row>
    <row r="59" spans="1:5" x14ac:dyDescent="0.2">
      <c r="A59" s="9" t="s">
        <v>44</v>
      </c>
      <c r="B59" s="11" t="s">
        <v>36</v>
      </c>
      <c r="C59" s="9">
        <v>1</v>
      </c>
      <c r="D59" s="9" t="s">
        <v>74</v>
      </c>
      <c r="E59" s="15">
        <v>10000</v>
      </c>
    </row>
    <row r="60" spans="1:5" x14ac:dyDescent="0.2">
      <c r="A60" s="9" t="s">
        <v>44</v>
      </c>
      <c r="B60" s="11" t="s">
        <v>36</v>
      </c>
      <c r="C60" s="9">
        <v>2</v>
      </c>
      <c r="D60" s="9" t="s">
        <v>74</v>
      </c>
      <c r="E60" s="15">
        <v>10000</v>
      </c>
    </row>
    <row r="61" spans="1:5" x14ac:dyDescent="0.2">
      <c r="A61" s="9" t="s">
        <v>44</v>
      </c>
      <c r="B61" s="11" t="s">
        <v>36</v>
      </c>
      <c r="C61" s="9">
        <v>3</v>
      </c>
      <c r="D61" s="9" t="s">
        <v>74</v>
      </c>
      <c r="E61" s="15">
        <v>10000</v>
      </c>
    </row>
    <row r="62" spans="1:5" x14ac:dyDescent="0.2">
      <c r="A62" s="9" t="s">
        <v>44</v>
      </c>
      <c r="B62" s="11" t="s">
        <v>36</v>
      </c>
      <c r="C62" s="9">
        <v>4</v>
      </c>
      <c r="D62" s="9" t="s">
        <v>74</v>
      </c>
      <c r="E62" s="15">
        <v>10000</v>
      </c>
    </row>
    <row r="63" spans="1:5" x14ac:dyDescent="0.2">
      <c r="A63" s="9" t="s">
        <v>44</v>
      </c>
      <c r="B63" s="11" t="s">
        <v>36</v>
      </c>
      <c r="C63" s="9">
        <v>5</v>
      </c>
      <c r="D63" s="9" t="s">
        <v>74</v>
      </c>
      <c r="E63" s="15">
        <v>10000</v>
      </c>
    </row>
    <row r="64" spans="1:5" x14ac:dyDescent="0.2">
      <c r="A64" s="9" t="s">
        <v>44</v>
      </c>
      <c r="B64" s="11" t="s">
        <v>36</v>
      </c>
      <c r="C64" s="9">
        <v>6</v>
      </c>
      <c r="D64" s="9" t="s">
        <v>74</v>
      </c>
      <c r="E64" s="15">
        <v>10000</v>
      </c>
    </row>
    <row r="65" spans="1:5" x14ac:dyDescent="0.2">
      <c r="A65" s="9" t="s">
        <v>45</v>
      </c>
      <c r="B65" s="10" t="s">
        <v>33</v>
      </c>
      <c r="C65" s="9">
        <v>-4</v>
      </c>
      <c r="D65" s="9" t="s">
        <v>73</v>
      </c>
      <c r="E65" s="15">
        <v>10000</v>
      </c>
    </row>
    <row r="66" spans="1:5" x14ac:dyDescent="0.2">
      <c r="A66" s="9" t="s">
        <v>45</v>
      </c>
      <c r="B66" s="10" t="s">
        <v>33</v>
      </c>
      <c r="C66" s="9">
        <v>-3</v>
      </c>
      <c r="D66" s="9" t="s">
        <v>73</v>
      </c>
      <c r="E66" s="15">
        <v>10000</v>
      </c>
    </row>
    <row r="67" spans="1:5" x14ac:dyDescent="0.2">
      <c r="A67" s="9" t="s">
        <v>45</v>
      </c>
      <c r="B67" s="10" t="s">
        <v>33</v>
      </c>
      <c r="C67" s="9">
        <v>-2</v>
      </c>
      <c r="D67" s="9" t="s">
        <v>73</v>
      </c>
      <c r="E67" s="15">
        <v>10000</v>
      </c>
    </row>
    <row r="68" spans="1:5" x14ac:dyDescent="0.2">
      <c r="A68" s="9" t="s">
        <v>45</v>
      </c>
      <c r="B68" s="10" t="s">
        <v>33</v>
      </c>
      <c r="C68" s="9">
        <v>-1</v>
      </c>
      <c r="D68" s="9" t="s">
        <v>73</v>
      </c>
      <c r="E68" s="15">
        <v>10000</v>
      </c>
    </row>
    <row r="69" spans="1:5" x14ac:dyDescent="0.2">
      <c r="A69" s="9" t="s">
        <v>45</v>
      </c>
      <c r="B69" s="10" t="s">
        <v>33</v>
      </c>
      <c r="C69" s="9">
        <v>1</v>
      </c>
      <c r="D69" s="9" t="s">
        <v>74</v>
      </c>
      <c r="E69" s="15">
        <v>15000</v>
      </c>
    </row>
    <row r="70" spans="1:5" x14ac:dyDescent="0.2">
      <c r="A70" s="9" t="s">
        <v>45</v>
      </c>
      <c r="B70" s="10" t="s">
        <v>33</v>
      </c>
      <c r="C70" s="9">
        <v>2</v>
      </c>
      <c r="D70" s="9" t="s">
        <v>74</v>
      </c>
      <c r="E70" s="15">
        <v>15000</v>
      </c>
    </row>
    <row r="71" spans="1:5" x14ac:dyDescent="0.2">
      <c r="A71" s="9" t="s">
        <v>45</v>
      </c>
      <c r="B71" s="10" t="s">
        <v>33</v>
      </c>
      <c r="C71" s="9">
        <v>3</v>
      </c>
      <c r="D71" s="9" t="s">
        <v>74</v>
      </c>
      <c r="E71" s="15">
        <v>15000</v>
      </c>
    </row>
    <row r="72" spans="1:5" x14ac:dyDescent="0.2">
      <c r="A72" s="9" t="s">
        <v>45</v>
      </c>
      <c r="B72" s="10" t="s">
        <v>33</v>
      </c>
      <c r="C72" s="9">
        <v>4</v>
      </c>
      <c r="D72" s="9" t="s">
        <v>74</v>
      </c>
      <c r="E72" s="15">
        <v>15000</v>
      </c>
    </row>
    <row r="73" spans="1:5" x14ac:dyDescent="0.2">
      <c r="A73" s="9" t="s">
        <v>45</v>
      </c>
      <c r="B73" s="10" t="s">
        <v>33</v>
      </c>
      <c r="C73" s="9">
        <v>5</v>
      </c>
      <c r="D73" s="9" t="s">
        <v>74</v>
      </c>
      <c r="E73" s="15">
        <v>15000</v>
      </c>
    </row>
    <row r="74" spans="1:5" x14ac:dyDescent="0.2">
      <c r="A74" s="9" t="s">
        <v>45</v>
      </c>
      <c r="B74" s="10" t="s">
        <v>33</v>
      </c>
      <c r="C74" s="9">
        <v>6</v>
      </c>
      <c r="D74" s="9" t="s">
        <v>74</v>
      </c>
      <c r="E74" s="15">
        <v>15000</v>
      </c>
    </row>
    <row r="75" spans="1:5" x14ac:dyDescent="0.2">
      <c r="A75" s="9" t="s">
        <v>46</v>
      </c>
      <c r="B75" s="11" t="s">
        <v>36</v>
      </c>
      <c r="C75" s="9">
        <v>-4</v>
      </c>
      <c r="D75" s="9" t="s">
        <v>73</v>
      </c>
      <c r="E75" s="15">
        <v>10000</v>
      </c>
    </row>
    <row r="76" spans="1:5" x14ac:dyDescent="0.2">
      <c r="A76" s="9" t="s">
        <v>46</v>
      </c>
      <c r="B76" s="11" t="s">
        <v>36</v>
      </c>
      <c r="C76" s="9">
        <v>-3</v>
      </c>
      <c r="D76" s="9" t="s">
        <v>73</v>
      </c>
      <c r="E76" s="15">
        <v>10000</v>
      </c>
    </row>
    <row r="77" spans="1:5" x14ac:dyDescent="0.2">
      <c r="A77" s="9" t="s">
        <v>46</v>
      </c>
      <c r="B77" s="11" t="s">
        <v>36</v>
      </c>
      <c r="C77" s="9">
        <v>-2</v>
      </c>
      <c r="D77" s="9" t="s">
        <v>73</v>
      </c>
      <c r="E77" s="15">
        <v>10000</v>
      </c>
    </row>
    <row r="78" spans="1:5" x14ac:dyDescent="0.2">
      <c r="A78" s="9" t="s">
        <v>46</v>
      </c>
      <c r="B78" s="11" t="s">
        <v>36</v>
      </c>
      <c r="C78" s="9">
        <v>-1</v>
      </c>
      <c r="D78" s="9" t="s">
        <v>73</v>
      </c>
      <c r="E78" s="15">
        <v>10000</v>
      </c>
    </row>
    <row r="79" spans="1:5" x14ac:dyDescent="0.2">
      <c r="A79" s="9" t="s">
        <v>46</v>
      </c>
      <c r="B79" s="11" t="s">
        <v>36</v>
      </c>
      <c r="C79" s="9">
        <v>1</v>
      </c>
      <c r="D79" s="9" t="s">
        <v>74</v>
      </c>
      <c r="E79" s="15">
        <v>10000</v>
      </c>
    </row>
    <row r="80" spans="1:5" x14ac:dyDescent="0.2">
      <c r="A80" s="9" t="s">
        <v>46</v>
      </c>
      <c r="B80" s="11" t="s">
        <v>36</v>
      </c>
      <c r="C80" s="9">
        <v>2</v>
      </c>
      <c r="D80" s="9" t="s">
        <v>74</v>
      </c>
      <c r="E80" s="15">
        <v>10000</v>
      </c>
    </row>
    <row r="81" spans="1:5" x14ac:dyDescent="0.2">
      <c r="A81" s="9" t="s">
        <v>46</v>
      </c>
      <c r="B81" s="11" t="s">
        <v>36</v>
      </c>
      <c r="C81" s="9">
        <v>3</v>
      </c>
      <c r="D81" s="9" t="s">
        <v>74</v>
      </c>
      <c r="E81" s="15">
        <v>10000</v>
      </c>
    </row>
    <row r="82" spans="1:5" x14ac:dyDescent="0.2">
      <c r="A82" s="9" t="s">
        <v>46</v>
      </c>
      <c r="B82" s="11" t="s">
        <v>36</v>
      </c>
      <c r="C82" s="9">
        <v>4</v>
      </c>
      <c r="D82" s="9" t="s">
        <v>74</v>
      </c>
      <c r="E82" s="15">
        <v>10000</v>
      </c>
    </row>
    <row r="83" spans="1:5" x14ac:dyDescent="0.2">
      <c r="A83" s="9" t="s">
        <v>46</v>
      </c>
      <c r="B83" s="11" t="s">
        <v>36</v>
      </c>
      <c r="C83" s="9">
        <v>5</v>
      </c>
      <c r="D83" s="9" t="s">
        <v>74</v>
      </c>
      <c r="E83" s="15">
        <v>10000</v>
      </c>
    </row>
    <row r="84" spans="1:5" x14ac:dyDescent="0.2">
      <c r="A84" s="9" t="s">
        <v>46</v>
      </c>
      <c r="B84" s="11" t="s">
        <v>36</v>
      </c>
      <c r="C84" s="9">
        <v>6</v>
      </c>
      <c r="D84" s="9" t="s">
        <v>74</v>
      </c>
      <c r="E84" s="15">
        <v>10000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tabSelected="1" zoomScale="87" zoomScaleNormal="100" workbookViewId="0">
      <selection activeCell="A27" sqref="A27:D27"/>
    </sheetView>
  </sheetViews>
  <sheetFormatPr baseColWidth="10" defaultColWidth="8.6640625" defaultRowHeight="15" x14ac:dyDescent="0.2"/>
  <cols>
    <col min="1" max="1" width="42" customWidth="1"/>
    <col min="2" max="2" width="18" customWidth="1"/>
    <col min="3" max="3" width="23.83203125" bestFit="1" customWidth="1"/>
    <col min="4" max="4" width="55" customWidth="1"/>
  </cols>
  <sheetData>
    <row r="1" spans="1:4" ht="18" x14ac:dyDescent="0.2">
      <c r="A1" s="3" t="s">
        <v>78</v>
      </c>
    </row>
    <row r="2" spans="1:4" x14ac:dyDescent="0.2">
      <c r="A2" s="18" t="s">
        <v>124</v>
      </c>
    </row>
    <row r="4" spans="1:4" ht="16" x14ac:dyDescent="0.2">
      <c r="A4" s="4" t="s">
        <v>79</v>
      </c>
    </row>
    <row r="5" spans="1:4" x14ac:dyDescent="0.2">
      <c r="A5" s="8" t="s">
        <v>70</v>
      </c>
      <c r="B5" s="8" t="s">
        <v>71</v>
      </c>
      <c r="C5" s="8" t="s">
        <v>80</v>
      </c>
      <c r="D5" s="8" t="s">
        <v>81</v>
      </c>
    </row>
    <row r="6" spans="1:4" x14ac:dyDescent="0.2">
      <c r="A6" s="9">
        <v>-4</v>
      </c>
      <c r="B6" s="9" t="s">
        <v>73</v>
      </c>
      <c r="C6" s="21">
        <f>SUMIFS('02_Bookings'!E:E,'02_Bookings'!C:C,A6,'02_Bookings'!B:B,"Treatment")</f>
        <v>11854</v>
      </c>
      <c r="D6" s="21">
        <f>SUMIFS('02_Bookings'!E:E,'02_Bookings'!C:C,A6,'02_Bookings'!B:B,"Control")</f>
        <v>12374</v>
      </c>
    </row>
    <row r="7" spans="1:4" x14ac:dyDescent="0.2">
      <c r="A7" s="9">
        <v>-3</v>
      </c>
      <c r="B7" s="9" t="s">
        <v>73</v>
      </c>
      <c r="C7" s="21">
        <f>SUMIFS('02_Bookings'!E:E,'02_Bookings'!C:C,A7,'02_Bookings'!B:B,"Treatment")</f>
        <v>11788</v>
      </c>
      <c r="D7" s="21">
        <f>SUMIFS('02_Bookings'!E:E,'02_Bookings'!C:C,A7,'02_Bookings'!B:B,"Control")</f>
        <v>12429</v>
      </c>
    </row>
    <row r="8" spans="1:4" x14ac:dyDescent="0.2">
      <c r="A8" s="9">
        <v>-2</v>
      </c>
      <c r="B8" s="9" t="s">
        <v>73</v>
      </c>
      <c r="C8" s="21">
        <f>SUMIFS('02_Bookings'!E:E,'02_Bookings'!C:C,A8,'02_Bookings'!B:B,"Treatment")</f>
        <v>11793</v>
      </c>
      <c r="D8" s="21">
        <f>SUMIFS('02_Bookings'!E:E,'02_Bookings'!C:C,A8,'02_Bookings'!B:B,"Control")</f>
        <v>12304</v>
      </c>
    </row>
    <row r="9" spans="1:4" x14ac:dyDescent="0.2">
      <c r="A9" s="9">
        <v>-1</v>
      </c>
      <c r="B9" s="9" t="s">
        <v>73</v>
      </c>
      <c r="C9" s="21">
        <f>SUMIFS('02_Bookings'!E:E,'02_Bookings'!C:C,A9,'02_Bookings'!B:B,"Treatment")</f>
        <v>11965</v>
      </c>
      <c r="D9" s="21">
        <f>SUMIFS('02_Bookings'!E:E,'02_Bookings'!C:C,A9,'02_Bookings'!B:B,"Control")</f>
        <v>12669</v>
      </c>
    </row>
    <row r="10" spans="1:4" x14ac:dyDescent="0.2">
      <c r="A10" s="9">
        <v>1</v>
      </c>
      <c r="B10" s="9" t="s">
        <v>74</v>
      </c>
      <c r="C10" s="21">
        <f>SUMIFS('02_Bookings'!E:E,'02_Bookings'!C:C,A10,'02_Bookings'!B:B,"Treatment")</f>
        <v>12819</v>
      </c>
      <c r="D10" s="21">
        <f>SUMIFS('02_Bookings'!E:E,'02_Bookings'!C:C,A10,'02_Bookings'!B:B,"Control")</f>
        <v>12877</v>
      </c>
    </row>
    <row r="11" spans="1:4" x14ac:dyDescent="0.2">
      <c r="A11" s="9">
        <v>2</v>
      </c>
      <c r="B11" s="9" t="s">
        <v>74</v>
      </c>
      <c r="C11" s="21">
        <f>SUMIFS('02_Bookings'!E:E,'02_Bookings'!C:C,A11,'02_Bookings'!B:B,"Treatment")</f>
        <v>13053</v>
      </c>
      <c r="D11" s="21">
        <f>SUMIFS('02_Bookings'!E:E,'02_Bookings'!C:C,A11,'02_Bookings'!B:B,"Control")</f>
        <v>13069</v>
      </c>
    </row>
    <row r="12" spans="1:4" x14ac:dyDescent="0.2">
      <c r="A12" s="9">
        <v>3</v>
      </c>
      <c r="B12" s="9" t="s">
        <v>74</v>
      </c>
      <c r="C12" s="21">
        <f>SUMIFS('02_Bookings'!E:E,'02_Bookings'!C:C,A12,'02_Bookings'!B:B,"Treatment")</f>
        <v>13211</v>
      </c>
      <c r="D12" s="21">
        <f>SUMIFS('02_Bookings'!E:E,'02_Bookings'!C:C,A12,'02_Bookings'!B:B,"Control")</f>
        <v>13247</v>
      </c>
    </row>
    <row r="13" spans="1:4" x14ac:dyDescent="0.2">
      <c r="A13" s="9">
        <v>4</v>
      </c>
      <c r="B13" s="9" t="s">
        <v>74</v>
      </c>
      <c r="C13" s="21">
        <f>SUMIFS('02_Bookings'!E:E,'02_Bookings'!C:C,A13,'02_Bookings'!B:B,"Treatment")</f>
        <v>13585</v>
      </c>
      <c r="D13" s="21">
        <f>SUMIFS('02_Bookings'!E:E,'02_Bookings'!C:C,A13,'02_Bookings'!B:B,"Control")</f>
        <v>13523</v>
      </c>
    </row>
    <row r="14" spans="1:4" x14ac:dyDescent="0.2">
      <c r="A14" s="9">
        <v>5</v>
      </c>
      <c r="B14" s="9" t="s">
        <v>74</v>
      </c>
      <c r="C14" s="21">
        <f>SUMIFS('02_Bookings'!E:E,'02_Bookings'!C:C,A14,'02_Bookings'!B:B,"Treatment")</f>
        <v>13596</v>
      </c>
      <c r="D14" s="21">
        <f>SUMIFS('02_Bookings'!E:E,'02_Bookings'!C:C,A14,'02_Bookings'!B:B,"Control")</f>
        <v>13551</v>
      </c>
    </row>
    <row r="15" spans="1:4" x14ac:dyDescent="0.2">
      <c r="A15" s="9">
        <v>6</v>
      </c>
      <c r="B15" s="9" t="s">
        <v>74</v>
      </c>
      <c r="C15" s="21">
        <f>SUMIFS('02_Bookings'!E:E,'02_Bookings'!C:C,A15,'02_Bookings'!B:B,"Treatment")</f>
        <v>13956</v>
      </c>
      <c r="D15" s="21">
        <f>SUMIFS('02_Bookings'!E:E,'02_Bookings'!C:C,A15,'02_Bookings'!B:B,"Control")</f>
        <v>13826</v>
      </c>
    </row>
    <row r="17" spans="1:4" ht="16" x14ac:dyDescent="0.2">
      <c r="A17" s="4" t="s">
        <v>82</v>
      </c>
    </row>
    <row r="18" spans="1:4" x14ac:dyDescent="0.2">
      <c r="A18" s="8"/>
      <c r="B18" s="8" t="s">
        <v>83</v>
      </c>
      <c r="C18" s="8" t="s">
        <v>84</v>
      </c>
    </row>
    <row r="19" spans="1:4" x14ac:dyDescent="0.2">
      <c r="A19" s="22" t="s">
        <v>85</v>
      </c>
      <c r="B19" s="23">
        <f>AVERAGEIFS(C6:C15,B6:B15,"Pre")</f>
        <v>11850</v>
      </c>
      <c r="C19" s="23">
        <f>AVERAGEIFS(D6:D15,B6:B15,"Pre")</f>
        <v>12444</v>
      </c>
    </row>
    <row r="20" spans="1:4" x14ac:dyDescent="0.2">
      <c r="A20" s="22" t="s">
        <v>86</v>
      </c>
      <c r="B20" s="23">
        <f>AVERAGEIFS(C6:C15,B6:B15,"Test")</f>
        <v>13370</v>
      </c>
      <c r="C20" s="23">
        <f>AVERAGEIFS(D6:D15,B6:B15,"Test")</f>
        <v>13348.833333333334</v>
      </c>
    </row>
    <row r="22" spans="1:4" ht="16" x14ac:dyDescent="0.2">
      <c r="A22" s="4" t="s">
        <v>87</v>
      </c>
    </row>
    <row r="23" spans="1:4" x14ac:dyDescent="0.2">
      <c r="A23" s="8"/>
      <c r="B23" s="8" t="s">
        <v>88</v>
      </c>
      <c r="C23" s="8" t="s">
        <v>89</v>
      </c>
    </row>
    <row r="24" spans="1:4" x14ac:dyDescent="0.2">
      <c r="A24" s="22" t="s">
        <v>90</v>
      </c>
      <c r="B24" s="24">
        <f>B20-B19</f>
        <v>1520</v>
      </c>
      <c r="C24" s="24">
        <f>C20-C19</f>
        <v>904.83333333333394</v>
      </c>
    </row>
    <row r="26" spans="1:4" ht="16" x14ac:dyDescent="0.2">
      <c r="A26" s="4" t="s">
        <v>91</v>
      </c>
    </row>
    <row r="27" spans="1:4" ht="30" customHeight="1" x14ac:dyDescent="0.2">
      <c r="A27" s="1" t="s">
        <v>92</v>
      </c>
      <c r="B27" s="1"/>
      <c r="C27" s="1"/>
      <c r="D27" s="1"/>
    </row>
    <row r="28" spans="1:4" x14ac:dyDescent="0.2">
      <c r="A28" s="22" t="s">
        <v>93</v>
      </c>
      <c r="B28" s="24">
        <f>B24-C24</f>
        <v>615.16666666666606</v>
      </c>
    </row>
    <row r="30" spans="1:4" ht="16" x14ac:dyDescent="0.2">
      <c r="A30" s="4" t="s">
        <v>94</v>
      </c>
    </row>
    <row r="31" spans="1:4" ht="30" x14ac:dyDescent="0.2">
      <c r="A31" s="22" t="s">
        <v>95</v>
      </c>
      <c r="B31" s="25">
        <f>'01_Setup'!B18*'01_Setup'!B19 - '01_Setup'!B17*'01_Setup'!B19</f>
        <v>20000</v>
      </c>
      <c r="D31" s="26" t="s">
        <v>96</v>
      </c>
    </row>
    <row r="32" spans="1:4" x14ac:dyDescent="0.2">
      <c r="A32" s="22" t="s">
        <v>97</v>
      </c>
      <c r="B32" s="27">
        <f>B31/B28</f>
        <v>32.511514494716913</v>
      </c>
      <c r="D32" s="26" t="s">
        <v>98</v>
      </c>
    </row>
    <row r="33" spans="1:4" x14ac:dyDescent="0.2">
      <c r="A33" s="22" t="s">
        <v>66</v>
      </c>
      <c r="B33" s="28">
        <f>'01_Setup'!B25</f>
        <v>18</v>
      </c>
      <c r="D33" s="26" t="s">
        <v>99</v>
      </c>
    </row>
    <row r="34" spans="1:4" x14ac:dyDescent="0.2">
      <c r="A34" s="22" t="s">
        <v>100</v>
      </c>
      <c r="B34" s="29">
        <f>B28*B33</f>
        <v>11072.999999999989</v>
      </c>
      <c r="D34" s="26" t="s">
        <v>101</v>
      </c>
    </row>
    <row r="35" spans="1:4" ht="30" x14ac:dyDescent="0.2">
      <c r="A35" s="22" t="s">
        <v>102</v>
      </c>
      <c r="B35" s="30">
        <f>B34/B31</f>
        <v>0.55364999999999942</v>
      </c>
      <c r="D35" s="26" t="s">
        <v>103</v>
      </c>
    </row>
    <row r="37" spans="1:4" ht="16" x14ac:dyDescent="0.2">
      <c r="A37" s="4" t="s">
        <v>104</v>
      </c>
    </row>
    <row r="38" spans="1:4" ht="60" customHeight="1" x14ac:dyDescent="0.2">
      <c r="A38" s="2" t="s">
        <v>125</v>
      </c>
      <c r="B38" s="2"/>
      <c r="C38" s="2"/>
      <c r="D38" s="2"/>
    </row>
  </sheetData>
  <mergeCells count="2">
    <mergeCell ref="A27:D27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zoomScaleNormal="100" workbookViewId="0">
      <selection activeCell="B20" sqref="B20"/>
    </sheetView>
  </sheetViews>
  <sheetFormatPr baseColWidth="10" defaultColWidth="8.6640625" defaultRowHeight="15" x14ac:dyDescent="0.2"/>
  <cols>
    <col min="1" max="1" width="32" customWidth="1"/>
    <col min="2" max="3" width="16" customWidth="1"/>
    <col min="4" max="5" width="22" customWidth="1"/>
  </cols>
  <sheetData>
    <row r="1" spans="1:5" ht="18" x14ac:dyDescent="0.2">
      <c r="A1" s="3" t="s">
        <v>105</v>
      </c>
    </row>
    <row r="2" spans="1:5" ht="30" customHeight="1" x14ac:dyDescent="0.2">
      <c r="A2" s="1" t="s">
        <v>106</v>
      </c>
      <c r="B2" s="1"/>
      <c r="C2" s="1"/>
      <c r="D2" s="1"/>
      <c r="E2" s="1"/>
    </row>
    <row r="4" spans="1:5" x14ac:dyDescent="0.2">
      <c r="A4" s="8" t="s">
        <v>70</v>
      </c>
      <c r="B4" s="8" t="s">
        <v>107</v>
      </c>
      <c r="C4" s="8" t="s">
        <v>108</v>
      </c>
      <c r="D4" s="8" t="s">
        <v>109</v>
      </c>
      <c r="E4" s="8" t="s">
        <v>110</v>
      </c>
    </row>
    <row r="5" spans="1:5" x14ac:dyDescent="0.2">
      <c r="A5" s="9">
        <v>-4</v>
      </c>
      <c r="B5" s="31">
        <f>SUMIFS('02_Bookings'!E:E,'02_Bookings'!C:C,A5,'02_Bookings'!B:B,"Treatment")</f>
        <v>11854</v>
      </c>
      <c r="C5" s="31">
        <f>SUMIFS('02_Bookings'!E:E,'02_Bookings'!C:C,A5,'02_Bookings'!B:B,"Control")</f>
        <v>12374</v>
      </c>
      <c r="D5" s="32"/>
      <c r="E5" s="32"/>
    </row>
    <row r="6" spans="1:5" x14ac:dyDescent="0.2">
      <c r="A6" s="9">
        <v>-3</v>
      </c>
      <c r="B6" s="31">
        <f>SUMIFS('02_Bookings'!E:E,'02_Bookings'!C:C,A6,'02_Bookings'!B:B,"Treatment")</f>
        <v>11788</v>
      </c>
      <c r="C6" s="31">
        <f>SUMIFS('02_Bookings'!E:E,'02_Bookings'!C:C,A6,'02_Bookings'!B:B,"Control")</f>
        <v>12429</v>
      </c>
      <c r="D6" s="33">
        <f t="shared" ref="D6:E8" si="0">B6/B5-1</f>
        <v>-5.5677408469715362E-3</v>
      </c>
      <c r="E6" s="33">
        <f t="shared" si="0"/>
        <v>4.4448036204944863E-3</v>
      </c>
    </row>
    <row r="7" spans="1:5" x14ac:dyDescent="0.2">
      <c r="A7" s="9">
        <v>-2</v>
      </c>
      <c r="B7" s="31">
        <f>SUMIFS('02_Bookings'!E:E,'02_Bookings'!C:C,A7,'02_Bookings'!B:B,"Treatment")</f>
        <v>11793</v>
      </c>
      <c r="C7" s="31">
        <f>SUMIFS('02_Bookings'!E:E,'02_Bookings'!C:C,A7,'02_Bookings'!B:B,"Control")</f>
        <v>12304</v>
      </c>
      <c r="D7" s="33">
        <f t="shared" si="0"/>
        <v>4.2416016287760705E-4</v>
      </c>
      <c r="E7" s="33">
        <f t="shared" si="0"/>
        <v>-1.0057124466972378E-2</v>
      </c>
    </row>
    <row r="8" spans="1:5" x14ac:dyDescent="0.2">
      <c r="A8" s="9">
        <v>-1</v>
      </c>
      <c r="B8" s="31">
        <f>SUMIFS('02_Bookings'!E:E,'02_Bookings'!C:C,A8,'02_Bookings'!B:B,"Treatment")</f>
        <v>11965</v>
      </c>
      <c r="C8" s="31">
        <f>SUMIFS('02_Bookings'!E:E,'02_Bookings'!C:C,A8,'02_Bookings'!B:B,"Control")</f>
        <v>12669</v>
      </c>
      <c r="D8" s="33">
        <f t="shared" si="0"/>
        <v>1.4584923259560734E-2</v>
      </c>
      <c r="E8" s="33">
        <f t="shared" si="0"/>
        <v>2.9665149544863434E-2</v>
      </c>
    </row>
    <row r="11" spans="1:5" ht="16" x14ac:dyDescent="0.2">
      <c r="A11" s="4" t="s">
        <v>111</v>
      </c>
    </row>
    <row r="12" spans="1:5" x14ac:dyDescent="0.2">
      <c r="A12" s="22" t="s">
        <v>112</v>
      </c>
      <c r="B12" s="34">
        <f>AVERAGE(B5:B8)</f>
        <v>11850</v>
      </c>
    </row>
    <row r="13" spans="1:5" x14ac:dyDescent="0.2">
      <c r="A13" s="22" t="s">
        <v>113</v>
      </c>
      <c r="B13" s="34">
        <f>AVERAGE(C5:C8)</f>
        <v>12444</v>
      </c>
    </row>
    <row r="14" spans="1:5" x14ac:dyDescent="0.2">
      <c r="A14" s="22" t="s">
        <v>114</v>
      </c>
      <c r="B14" s="35">
        <f>AVERAGE(D6:D8)</f>
        <v>3.147114191822268E-3</v>
      </c>
    </row>
    <row r="15" spans="1:5" x14ac:dyDescent="0.2">
      <c r="A15" s="22" t="s">
        <v>115</v>
      </c>
      <c r="B15" s="35">
        <f>AVERAGE(E6:E8)</f>
        <v>8.0176095661285141E-3</v>
      </c>
    </row>
    <row r="16" spans="1:5" x14ac:dyDescent="0.2">
      <c r="A16" s="22" t="s">
        <v>116</v>
      </c>
      <c r="B16" s="36">
        <f>B14-B15</f>
        <v>-4.8704953743062464E-3</v>
      </c>
    </row>
    <row r="18" spans="1:5" ht="16" x14ac:dyDescent="0.2">
      <c r="A18" s="4" t="s">
        <v>117</v>
      </c>
    </row>
    <row r="19" spans="1:5" ht="45" customHeight="1" x14ac:dyDescent="0.2">
      <c r="A19" s="2" t="s">
        <v>126</v>
      </c>
      <c r="B19" s="2"/>
      <c r="C19" s="2"/>
      <c r="D19" s="2"/>
      <c r="E19" s="2"/>
    </row>
  </sheetData>
  <mergeCells count="2">
    <mergeCell ref="A2:E2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01_Setup</vt:lpstr>
      <vt:lpstr>02_Bookings</vt:lpstr>
      <vt:lpstr>03_Spend</vt:lpstr>
      <vt:lpstr>04_Analysis</vt:lpstr>
      <vt:lpstr>05_Sanity_Check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Ritu Chaudhary</cp:lastModifiedBy>
  <cp:revision>0</cp:revision>
  <dcterms:created xsi:type="dcterms:W3CDTF">2026-06-07T22:01:26Z</dcterms:created>
  <dcterms:modified xsi:type="dcterms:W3CDTF">2026-06-09T02:03:10Z</dcterms:modified>
  <dc:language>en-US</dc:language>
</cp:coreProperties>
</file>